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zambiangovernance-my.sharepoint.com/personal/darren_phiri_zgf_org_zm/Documents/Desktop/"/>
    </mc:Choice>
  </mc:AlternateContent>
  <xr:revisionPtr revIDLastSave="14" documentId="8_{ACFE6EEB-2596-4C6F-BC64-389D56F9E19F}" xr6:coauthVersionLast="47" xr6:coauthVersionMax="47" xr10:uidLastSave="{6FD28C69-3721-44C8-ABCB-F21AF154C7EA}"/>
  <bookViews>
    <workbookView xWindow="-120" yWindow="-120" windowWidth="20730" windowHeight="11040" tabRatio="613" activeTab="2" xr2:uid="{00000000-000D-0000-FFFF-FFFF00000000}"/>
  </bookViews>
  <sheets>
    <sheet name="Code Guide" sheetId="10" r:id="rId1"/>
    <sheet name="Budget Summary" sheetId="1" r:id="rId2"/>
    <sheet name="Comic Relief" sheetId="2" r:id="rId3"/>
    <sheet name="MOTTIII" sheetId="3" r:id="rId4"/>
    <sheet name="KaluluII" sheetId="4" r:id="rId5"/>
    <sheet name="ZGF" sheetId="5" r:id="rId6"/>
    <sheet name="Proposals to manage FinPerf" sheetId="6" state="hidden" r:id="rId7"/>
  </sheets>
  <definedNames>
    <definedName name="_xlnm._FilterDatabase" localSheetId="3" hidden="1">MOTTIII!$A$6:$P$39</definedName>
    <definedName name="_xlnm.Print_Area" localSheetId="3">MOTTIII!$C$6:$C$37</definedName>
    <definedName name="_xlnm.Print_Area" localSheetId="6">'Proposals to manage FinPerf'!$E$2:$G$5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0" l="1"/>
  <c r="A17" i="10" s="1"/>
  <c r="A18" i="10" s="1"/>
  <c r="A19" i="10" s="1"/>
  <c r="A20" i="10" s="1"/>
  <c r="P11" i="5"/>
  <c r="F20" i="1" s="1"/>
  <c r="F21" i="1" s="1"/>
  <c r="O11" i="5"/>
  <c r="E20" i="1" s="1"/>
  <c r="E21" i="1" s="1"/>
  <c r="L11" i="5"/>
  <c r="M10" i="5"/>
  <c r="K10" i="5"/>
  <c r="K9" i="5"/>
  <c r="M9" i="5" s="1"/>
  <c r="K8" i="5"/>
  <c r="K7" i="5"/>
  <c r="N7" i="5" s="1"/>
  <c r="N11" i="5" s="1"/>
  <c r="D20" i="1" s="1"/>
  <c r="D21" i="1" s="1"/>
  <c r="K6" i="5"/>
  <c r="M6" i="5" s="1"/>
  <c r="K5" i="5"/>
  <c r="M5" i="5" s="1"/>
  <c r="I27" i="4"/>
  <c r="L27" i="4" s="1"/>
  <c r="O25" i="4"/>
  <c r="O26" i="4" s="1"/>
  <c r="F18" i="1" s="1"/>
  <c r="N25" i="4"/>
  <c r="N26" i="4" s="1"/>
  <c r="K25" i="4"/>
  <c r="I24" i="4"/>
  <c r="L24" i="4" s="1"/>
  <c r="I23" i="4"/>
  <c r="J23" i="4" s="1"/>
  <c r="I22" i="4"/>
  <c r="M22" i="4" s="1"/>
  <c r="I21" i="4"/>
  <c r="J21" i="4" s="1"/>
  <c r="I20" i="4"/>
  <c r="L20" i="4" s="1"/>
  <c r="M19" i="4"/>
  <c r="D15" i="1" s="1"/>
  <c r="I19" i="4"/>
  <c r="J19" i="4" s="1"/>
  <c r="I18" i="4"/>
  <c r="L18" i="4" s="1"/>
  <c r="M17" i="4"/>
  <c r="I17" i="4"/>
  <c r="J17" i="4" s="1"/>
  <c r="I16" i="4"/>
  <c r="L16" i="4" s="1"/>
  <c r="C17" i="1" s="1"/>
  <c r="I15" i="4"/>
  <c r="J15" i="4" s="1"/>
  <c r="I14" i="4"/>
  <c r="L14" i="4" s="1"/>
  <c r="M13" i="4"/>
  <c r="I13" i="4"/>
  <c r="J13" i="4" s="1"/>
  <c r="I12" i="4"/>
  <c r="L12" i="4" s="1"/>
  <c r="L11" i="4"/>
  <c r="I11" i="4"/>
  <c r="J11" i="4" s="1"/>
  <c r="I10" i="4"/>
  <c r="J10" i="4" s="1"/>
  <c r="J9" i="4"/>
  <c r="I9" i="4"/>
  <c r="L9" i="4" s="1"/>
  <c r="I8" i="4"/>
  <c r="J8" i="4" s="1"/>
  <c r="L7" i="4"/>
  <c r="J7" i="4"/>
  <c r="I7" i="4"/>
  <c r="J38" i="3"/>
  <c r="I38" i="3"/>
  <c r="L38" i="3" s="1"/>
  <c r="N37" i="3"/>
  <c r="L37" i="3"/>
  <c r="C13" i="1" s="1"/>
  <c r="I37" i="3"/>
  <c r="M37" i="3" s="1"/>
  <c r="I36" i="3"/>
  <c r="N36" i="3" s="1"/>
  <c r="E12" i="1" s="1"/>
  <c r="I35" i="3"/>
  <c r="L35" i="3" s="1"/>
  <c r="M34" i="3"/>
  <c r="I34" i="3"/>
  <c r="J34" i="3" s="1"/>
  <c r="I33" i="3"/>
  <c r="L33" i="3" s="1"/>
  <c r="M32" i="3"/>
  <c r="I32" i="3"/>
  <c r="J32" i="3" s="1"/>
  <c r="J31" i="3"/>
  <c r="I31" i="3"/>
  <c r="M31" i="3" s="1"/>
  <c r="I30" i="3"/>
  <c r="J30" i="3" s="1"/>
  <c r="I29" i="3"/>
  <c r="N29" i="3" s="1"/>
  <c r="E10" i="1" s="1"/>
  <c r="L28" i="3"/>
  <c r="I28" i="3"/>
  <c r="J28" i="3" s="1"/>
  <c r="I27" i="3"/>
  <c r="N27" i="3" s="1"/>
  <c r="I26" i="3"/>
  <c r="M26" i="3" s="1"/>
  <c r="I25" i="3"/>
  <c r="J25" i="3" s="1"/>
  <c r="M24" i="3"/>
  <c r="L24" i="3"/>
  <c r="I24" i="3"/>
  <c r="J24" i="3" s="1"/>
  <c r="I23" i="3"/>
  <c r="J23" i="3" s="1"/>
  <c r="I22" i="3"/>
  <c r="M22" i="3" s="1"/>
  <c r="I21" i="3"/>
  <c r="J21" i="3" s="1"/>
  <c r="I20" i="3"/>
  <c r="M20" i="3" s="1"/>
  <c r="N19" i="3"/>
  <c r="I19" i="3"/>
  <c r="J19" i="3" s="1"/>
  <c r="I18" i="3"/>
  <c r="L18" i="3" s="1"/>
  <c r="I17" i="3"/>
  <c r="J17" i="3" s="1"/>
  <c r="L16" i="3"/>
  <c r="I16" i="3"/>
  <c r="J16" i="3" s="1"/>
  <c r="I15" i="3"/>
  <c r="J15" i="3" s="1"/>
  <c r="J14" i="3"/>
  <c r="I14" i="3"/>
  <c r="L14" i="3" s="1"/>
  <c r="I13" i="3"/>
  <c r="J13" i="3" s="1"/>
  <c r="I12" i="3"/>
  <c r="L12" i="3" s="1"/>
  <c r="L11" i="3"/>
  <c r="I11" i="3"/>
  <c r="J11" i="3" s="1"/>
  <c r="I10" i="3"/>
  <c r="L10" i="3" s="1"/>
  <c r="I9" i="3"/>
  <c r="J9" i="3" s="1"/>
  <c r="L8" i="3"/>
  <c r="I8" i="3"/>
  <c r="J8" i="3" s="1"/>
  <c r="I7" i="3"/>
  <c r="J7" i="3" s="1"/>
  <c r="L65" i="2"/>
  <c r="J65" i="2"/>
  <c r="I65" i="2"/>
  <c r="I64" i="2"/>
  <c r="J64" i="2" s="1"/>
  <c r="I63" i="2"/>
  <c r="L63" i="2" s="1"/>
  <c r="L62" i="2"/>
  <c r="I62" i="2"/>
  <c r="J62" i="2" s="1"/>
  <c r="I61" i="2"/>
  <c r="J61" i="2" s="1"/>
  <c r="I60" i="2"/>
  <c r="L60" i="2" s="1"/>
  <c r="I59" i="2"/>
  <c r="L59" i="2" s="1"/>
  <c r="I58" i="2"/>
  <c r="J58" i="2" s="1"/>
  <c r="J57" i="2"/>
  <c r="I56" i="2"/>
  <c r="M56" i="2" s="1"/>
  <c r="D8" i="1" s="1"/>
  <c r="L55" i="2"/>
  <c r="J55" i="2"/>
  <c r="I55" i="2"/>
  <c r="M54" i="2"/>
  <c r="I54" i="2"/>
  <c r="J54" i="2" s="1"/>
  <c r="J53" i="2"/>
  <c r="I52" i="2"/>
  <c r="J52" i="2" s="1"/>
  <c r="L51" i="2"/>
  <c r="I51" i="2"/>
  <c r="J51" i="2" s="1"/>
  <c r="I50" i="2"/>
  <c r="J50" i="2" s="1"/>
  <c r="J49" i="2"/>
  <c r="I49" i="2"/>
  <c r="L49" i="2" s="1"/>
  <c r="I48" i="2"/>
  <c r="J48" i="2" s="1"/>
  <c r="I47" i="2"/>
  <c r="L47" i="2" s="1"/>
  <c r="N46" i="2"/>
  <c r="I46" i="2"/>
  <c r="J46" i="2" s="1"/>
  <c r="I45" i="2"/>
  <c r="L45" i="2" s="1"/>
  <c r="I44" i="2"/>
  <c r="J44" i="2" s="1"/>
  <c r="L43" i="2"/>
  <c r="I43" i="2"/>
  <c r="J43" i="2" s="1"/>
  <c r="I42" i="2"/>
  <c r="J42" i="2" s="1"/>
  <c r="I41" i="2"/>
  <c r="L41" i="2" s="1"/>
  <c r="I40" i="2"/>
  <c r="J40" i="2" s="1"/>
  <c r="I39" i="2"/>
  <c r="M39" i="2" s="1"/>
  <c r="N38" i="2"/>
  <c r="I38" i="2"/>
  <c r="J38" i="2" s="1"/>
  <c r="I37" i="2"/>
  <c r="M37" i="2" s="1"/>
  <c r="G36" i="2"/>
  <c r="I36" i="2" s="1"/>
  <c r="I35" i="2"/>
  <c r="J35" i="2" s="1"/>
  <c r="I34" i="2"/>
  <c r="M34" i="2" s="1"/>
  <c r="N33" i="2"/>
  <c r="I33" i="2"/>
  <c r="J33" i="2" s="1"/>
  <c r="I32" i="2"/>
  <c r="M32" i="2" s="1"/>
  <c r="I31" i="2"/>
  <c r="J31" i="2" s="1"/>
  <c r="I30" i="2"/>
  <c r="L30" i="2" s="1"/>
  <c r="I29" i="2"/>
  <c r="J29" i="2" s="1"/>
  <c r="I28" i="2"/>
  <c r="J28" i="2" s="1"/>
  <c r="M27" i="2"/>
  <c r="J27" i="2"/>
  <c r="I27" i="2"/>
  <c r="I26" i="2"/>
  <c r="J26" i="2" s="1"/>
  <c r="I25" i="2"/>
  <c r="M25" i="2" s="1"/>
  <c r="L24" i="2"/>
  <c r="I24" i="2"/>
  <c r="J24" i="2" s="1"/>
  <c r="I23" i="2"/>
  <c r="J23" i="2" s="1"/>
  <c r="J22" i="2"/>
  <c r="J21" i="2"/>
  <c r="I21" i="2"/>
  <c r="O21" i="2" s="1"/>
  <c r="N19" i="2"/>
  <c r="M19" i="2"/>
  <c r="I19" i="2"/>
  <c r="J19" i="2" s="1"/>
  <c r="I18" i="2"/>
  <c r="O18" i="2" s="1"/>
  <c r="I17" i="2"/>
  <c r="M17" i="2" s="1"/>
  <c r="I16" i="2"/>
  <c r="J16" i="2" s="1"/>
  <c r="M15" i="2"/>
  <c r="I15" i="2"/>
  <c r="J15" i="2" s="1"/>
  <c r="I14" i="2"/>
  <c r="L14" i="2" s="1"/>
  <c r="N13" i="2"/>
  <c r="M13" i="2"/>
  <c r="J13" i="2"/>
  <c r="I13" i="2"/>
  <c r="I12" i="2"/>
  <c r="J12" i="2" s="1"/>
  <c r="I11" i="2"/>
  <c r="J11" i="2" s="1"/>
  <c r="J10" i="2"/>
  <c r="I10" i="2"/>
  <c r="L10" i="2" s="1"/>
  <c r="I9" i="2"/>
  <c r="J9" i="2" s="1"/>
  <c r="I8" i="2"/>
  <c r="N8" i="2" s="1"/>
  <c r="O7" i="2"/>
  <c r="I7" i="2"/>
  <c r="J7" i="2" s="1"/>
  <c r="F17" i="1"/>
  <c r="E17" i="1"/>
  <c r="F16" i="1"/>
  <c r="E16" i="1"/>
  <c r="F15" i="1"/>
  <c r="E15" i="1"/>
  <c r="F14" i="1"/>
  <c r="F10" i="1"/>
  <c r="F8" i="1"/>
  <c r="E8" i="1"/>
  <c r="J36" i="2" l="1"/>
  <c r="M36" i="2"/>
  <c r="J17" i="2"/>
  <c r="L23" i="2"/>
  <c r="J45" i="2"/>
  <c r="L64" i="2"/>
  <c r="C8" i="1" s="1"/>
  <c r="G8" i="1" s="1"/>
  <c r="J10" i="3"/>
  <c r="M25" i="3"/>
  <c r="M39" i="3" s="1"/>
  <c r="L30" i="3"/>
  <c r="L36" i="3"/>
  <c r="C12" i="1" s="1"/>
  <c r="G12" i="1" s="1"/>
  <c r="L8" i="4"/>
  <c r="M35" i="2"/>
  <c r="N40" i="2"/>
  <c r="E7" i="1" s="1"/>
  <c r="L21" i="3"/>
  <c r="D12" i="1"/>
  <c r="L15" i="4"/>
  <c r="L25" i="4" s="1"/>
  <c r="M21" i="4"/>
  <c r="M25" i="4" s="1"/>
  <c r="J27" i="4"/>
  <c r="D17" i="1"/>
  <c r="G17" i="1" s="1"/>
  <c r="J22" i="4"/>
  <c r="J30" i="2"/>
  <c r="J41" i="2"/>
  <c r="J22" i="3"/>
  <c r="J27" i="3"/>
  <c r="J16" i="4"/>
  <c r="J8" i="2"/>
  <c r="J66" i="2" s="1"/>
  <c r="J25" i="2"/>
  <c r="J47" i="2"/>
  <c r="M52" i="2"/>
  <c r="J60" i="2"/>
  <c r="J12" i="3"/>
  <c r="L17" i="3"/>
  <c r="L27" i="3"/>
  <c r="L31" i="2"/>
  <c r="O42" i="2"/>
  <c r="F7" i="1" s="1"/>
  <c r="L7" i="3"/>
  <c r="L23" i="3"/>
  <c r="M27" i="3"/>
  <c r="M23" i="4"/>
  <c r="D16" i="1"/>
  <c r="L9" i="2"/>
  <c r="C5" i="1" s="1"/>
  <c r="C6" i="1" s="1"/>
  <c r="J14" i="2"/>
  <c r="M26" i="2"/>
  <c r="M66" i="2" s="1"/>
  <c r="J37" i="2"/>
  <c r="J18" i="3"/>
  <c r="J33" i="3"/>
  <c r="M38" i="3"/>
  <c r="D13" i="1" s="1"/>
  <c r="G13" i="1" s="1"/>
  <c r="J32" i="2"/>
  <c r="L48" i="2"/>
  <c r="L13" i="3"/>
  <c r="N38" i="3"/>
  <c r="E13" i="1" s="1"/>
  <c r="J12" i="4"/>
  <c r="J25" i="4" s="1"/>
  <c r="J18" i="4"/>
  <c r="J24" i="4"/>
  <c r="E11" i="1"/>
  <c r="F19" i="1"/>
  <c r="L11" i="2"/>
  <c r="J39" i="2"/>
  <c r="L44" i="2"/>
  <c r="C7" i="1" s="1"/>
  <c r="G7" i="1" s="1"/>
  <c r="J63" i="2"/>
  <c r="L9" i="3"/>
  <c r="J20" i="3"/>
  <c r="J29" i="3"/>
  <c r="J35" i="3"/>
  <c r="N28" i="2"/>
  <c r="N66" i="2" s="1"/>
  <c r="J34" i="2"/>
  <c r="M50" i="2"/>
  <c r="D7" i="1" s="1"/>
  <c r="L15" i="3"/>
  <c r="J14" i="4"/>
  <c r="J20" i="4"/>
  <c r="F5" i="1"/>
  <c r="N39" i="3"/>
  <c r="L66" i="2"/>
  <c r="E18" i="1"/>
  <c r="E19" i="1" s="1"/>
  <c r="N28" i="4"/>
  <c r="M11" i="5"/>
  <c r="C20" i="1" s="1"/>
  <c r="O66" i="2"/>
  <c r="F6" i="1"/>
  <c r="F9" i="1" s="1"/>
  <c r="E5" i="1"/>
  <c r="C15" i="1"/>
  <c r="G15" i="1" s="1"/>
  <c r="D5" i="1"/>
  <c r="J18" i="2"/>
  <c r="J56" i="2"/>
  <c r="O28" i="4"/>
  <c r="K11" i="5"/>
  <c r="I66" i="2"/>
  <c r="I25" i="4"/>
  <c r="J36" i="3"/>
  <c r="I39" i="3"/>
  <c r="J59" i="2"/>
  <c r="J26" i="3"/>
  <c r="L29" i="3"/>
  <c r="M29" i="3"/>
  <c r="D10" i="1" s="1"/>
  <c r="J37" i="3"/>
  <c r="M26" i="4" l="1"/>
  <c r="D18" i="1" s="1"/>
  <c r="D19" i="1"/>
  <c r="D11" i="1"/>
  <c r="D14" i="1" s="1"/>
  <c r="C10" i="1"/>
  <c r="D6" i="1"/>
  <c r="D9" i="1" s="1"/>
  <c r="E14" i="1"/>
  <c r="J39" i="3"/>
  <c r="E6" i="1"/>
  <c r="E9" i="1" s="1"/>
  <c r="C16" i="1"/>
  <c r="G16" i="1" s="1"/>
  <c r="G10" i="1"/>
  <c r="C11" i="1"/>
  <c r="L39" i="3"/>
  <c r="J26" i="4"/>
  <c r="J28" i="4" s="1"/>
  <c r="C21" i="1"/>
  <c r="G20" i="1"/>
  <c r="G21" i="1" s="1"/>
  <c r="L26" i="4"/>
  <c r="C18" i="1" s="1"/>
  <c r="G18" i="1" s="1"/>
  <c r="G5" i="1"/>
  <c r="I26" i="4"/>
  <c r="I28" i="4" s="1"/>
  <c r="C9" i="1"/>
  <c r="G6" i="1" l="1"/>
  <c r="M28" i="4"/>
  <c r="G9" i="1"/>
  <c r="G19" i="1"/>
  <c r="L28" i="4"/>
  <c r="C19" i="1"/>
  <c r="G11" i="1"/>
  <c r="G14" i="1" s="1"/>
  <c r="C14" i="1"/>
  <c r="G22" i="1" l="1"/>
</calcChain>
</file>

<file path=xl/sharedStrings.xml><?xml version="1.0" encoding="utf-8"?>
<sst xmlns="http://schemas.openxmlformats.org/spreadsheetml/2006/main" count="1660" uniqueCount="673">
  <si>
    <t>Zambian Governance Foundation Ltd.</t>
  </si>
  <si>
    <t>2026 Workplan budget summary</t>
  </si>
  <si>
    <t>Funding Source</t>
  </si>
  <si>
    <t>Strategic Pillar</t>
  </si>
  <si>
    <t>Q1</t>
  </si>
  <si>
    <t>Q2</t>
  </si>
  <si>
    <t>Q3</t>
  </si>
  <si>
    <t>Q4</t>
  </si>
  <si>
    <t>Total Annual Budget</t>
  </si>
  <si>
    <t>Comic Relief</t>
  </si>
  <si>
    <t>Supporting CSO-Grants &amp; Contracts Management</t>
  </si>
  <si>
    <t>Supporting CSO-Capacity Development</t>
  </si>
  <si>
    <t>Building the field of community philanthropy</t>
  </si>
  <si>
    <t>Operations</t>
  </si>
  <si>
    <t>Total-Comic Relief</t>
  </si>
  <si>
    <t>MOTTII</t>
  </si>
  <si>
    <t>Strengthening Communities-Grants &amp; Contract management</t>
  </si>
  <si>
    <t>Strengthening Communities-Capacity Development</t>
  </si>
  <si>
    <t>Total-MoTT</t>
  </si>
  <si>
    <t>KaluluII</t>
  </si>
  <si>
    <t>Total-Kalulu</t>
  </si>
  <si>
    <t>ZGF</t>
  </si>
  <si>
    <t>Total-ZGF</t>
  </si>
  <si>
    <t>Total 2026 Annual Workplan budget</t>
  </si>
  <si>
    <t>Budget Rates</t>
  </si>
  <si>
    <t>ZMW/USD-25</t>
  </si>
  <si>
    <t>ZMW/GBP-30</t>
  </si>
  <si>
    <t>ZMW/Euro-28</t>
  </si>
  <si>
    <t>Comic Relief - 2026 Annual work plan budget</t>
  </si>
  <si>
    <t>1 January to 31 December 2026</t>
  </si>
  <si>
    <t>Name of project: Shifting the Power programme</t>
  </si>
  <si>
    <t xml:space="preserve">Strategic Pillar </t>
  </si>
  <si>
    <t xml:space="preserve">Objective </t>
  </si>
  <si>
    <t>Activities</t>
  </si>
  <si>
    <t>Output/Indicator</t>
  </si>
  <si>
    <t>Category</t>
  </si>
  <si>
    <t>Activity Owner</t>
  </si>
  <si>
    <t>Quantity</t>
  </si>
  <si>
    <t>Unit Cost</t>
  </si>
  <si>
    <t>Total Budget-ZMW</t>
  </si>
  <si>
    <t>Total Budget-GBP</t>
  </si>
  <si>
    <t>Implementing Timeline</t>
  </si>
  <si>
    <t>Quarter1</t>
  </si>
  <si>
    <t>Quarter2</t>
  </si>
  <si>
    <t>Quarter3</t>
  </si>
  <si>
    <t>Quarter4</t>
  </si>
  <si>
    <t>Odoo Code</t>
  </si>
  <si>
    <t>Odoo Category</t>
  </si>
  <si>
    <t>Legacy Suggested Code</t>
  </si>
  <si>
    <t>Legacy Suggested Description</t>
  </si>
  <si>
    <t>Analytic Tags</t>
  </si>
  <si>
    <t>ZGF Code</t>
  </si>
  <si>
    <t>Supporting CSOS</t>
  </si>
  <si>
    <t xml:space="preserve">Objective 1: Support organisational strengthening (OS) interventions CSSF  partners </t>
  </si>
  <si>
    <t>Disbursment of funds to 11 CSO's - November- 2026</t>
  </si>
  <si>
    <t>11 completed Grant Disbursements</t>
  </si>
  <si>
    <t>Grants &amp; Contract Management</t>
  </si>
  <si>
    <t>Manager CSO Development</t>
  </si>
  <si>
    <t>Grants &amp; Capacity Strengthening</t>
  </si>
  <si>
    <t>4000-010-004</t>
  </si>
  <si>
    <t>Disbursements to Grant Partners</t>
  </si>
  <si>
    <t>Funding Source=Comic Relief; Strategic Pillar=Supporting CSOS; Programme Objective=Objective 1: Support organisational strengthening (OS) interventions CSSF  partners; Activity=Disbursment of funds to 11 CSO's - November- 2026</t>
  </si>
  <si>
    <t>Disbursment of funds to 7 CSO's - October - 2026</t>
  </si>
  <si>
    <t>7 completed Grant Disbursements</t>
  </si>
  <si>
    <t>Funding Source=Comic Relief; Activity=Disbursment of funds to 7 CSO's - October - 2026</t>
  </si>
  <si>
    <t>Disbursment of funds to 20 CSO's -March- 2026</t>
  </si>
  <si>
    <t>20 completed Grant Disbursements</t>
  </si>
  <si>
    <t>Funding Source=Comic Relief; Activity=Disbursment of funds to 20 CSO's -March- 2026</t>
  </si>
  <si>
    <t>Conduct introductory workshop for 38 CSO partners receiving the CSSF - 5 days - February 2026.</t>
  </si>
  <si>
    <t>5 day Workshop for 38 CSOs</t>
  </si>
  <si>
    <t>Funding Source=Comic Relief; Activity=Conduct introductory workshop for 38 CSO partners receiving the CSSF - 5 days - February 2026.; ProjCode=1.3.1</t>
  </si>
  <si>
    <t>1.3.1</t>
  </si>
  <si>
    <t>Familiarisation visits to CSSF II &amp; III CSOs (January - March 2026)</t>
  </si>
  <si>
    <t>3 Trips to CSSF Partners</t>
  </si>
  <si>
    <t>Capacity development</t>
  </si>
  <si>
    <t>Operations / Running Costs</t>
  </si>
  <si>
    <t>4300-050-090-325</t>
  </si>
  <si>
    <t>Overhead costs</t>
  </si>
  <si>
    <t>Funding Source=Comic Relief; Strategic Pillar=Supporting CSOS; Programme Objective=Objective 1: Support organisational strengthening (OS) interventions CSSF  partners; Activity=Familiarisation visits to CSSF II &amp; III CSOs (January - March 2026)</t>
  </si>
  <si>
    <t xml:space="preserve">Support and facilitate the implementation of  CSOs demand-based OS activities based on their approved OS plan and requests (ToRs) - When and as requested (4 times on average per organization '43' in 2026) -Using Service Providers
</t>
  </si>
  <si>
    <t>Quarterly implementation of Demand OS</t>
  </si>
  <si>
    <t>Q1, Q2,Q3&amp;Q4</t>
  </si>
  <si>
    <t>Training &amp; Learning</t>
  </si>
  <si>
    <t>4000-015-007-010</t>
  </si>
  <si>
    <t>Conduct 5 day capacity building training</t>
  </si>
  <si>
    <t>Funding Source=Comic Relief; Activity=Support and facilitate the implementation of  CSOs demand-based OS activities based on their approved OS plan and requests (ToRs) - When and as requested (4 times on average per organization '43' in 2026) -Using Service Providers</t>
  </si>
  <si>
    <t>Conduct quality assurance and capacity strengthening visits to 38 CSSF partners and 17 CF Partners</t>
  </si>
  <si>
    <t>Quarterly Quality Assurance Visits</t>
  </si>
  <si>
    <t>Funding Source=Comic Relief; Activity=Conduct quality assurance and capacity strengthening visits to 38 CSSF partners and 17 CF Partners</t>
  </si>
  <si>
    <t xml:space="preserve">Quarterly review of 38 financial and narrative reports, respectively - CLD team
</t>
  </si>
  <si>
    <t>Quarterly Review of Partners reports Communication costs</t>
  </si>
  <si>
    <t>Funding Source=Comic Relief; Activity=Quarterly review of 38 financial and narrative reports, respectively - CLD team</t>
  </si>
  <si>
    <t>Conduct biannual mandatory OS trainings: M&amp;E, financial management, fraud and risk and safeguarding and ABCD training/ community engagement - 4 days Twice a year</t>
  </si>
  <si>
    <t>Bi-Annual a Year 4days mandatory OS trainings</t>
  </si>
  <si>
    <t>Q2 &amp;Q3</t>
  </si>
  <si>
    <t>Funding Source=Comic Relief; Activity=Conduct biannual mandatory OS trainings: M&amp;E, financial management, fraud and risk and safeguarding and ABCD training/ community engagement - 4 days Twice a year; ProjCode=1.3.5</t>
  </si>
  <si>
    <t>Objective 2: CF CSOs to access the After Care Support (ACS)
Strengthening systems, and operalisation of catalyst fund partners. The grant will run for 12 months</t>
  </si>
  <si>
    <t xml:space="preserve">Support 17 CF CSO partners with tailor made activities responding to the OS prioritised plan - Aftercare Support Programme
</t>
  </si>
  <si>
    <t xml:space="preserve">Quarterly After Care support trainings to 17 Catalyst Fund CSOs </t>
  </si>
  <si>
    <t>Funding Source=Comic Relief; Strategic Pillar=Supporting CSOS; Programme Objective=Objective 2: CF CSOs to access the After Care Support (ACS)
Strengthening systems, and operalisation of catalyst fund partners. The grant will run for 12 months; Activity=Support 17 CF CSO partners with tailor made activities responding to the OS prioritised plan - Aftercare Support Programme</t>
  </si>
  <si>
    <t>Conduct Biannual tailored OS support review and organizational needs assessment with 17 catalyst fund partners - 17 partners x 3 representatives x 4 days and 5 ZGF staff</t>
  </si>
  <si>
    <t>Conduct Biannual tailored OS support review and organizational assessment</t>
  </si>
  <si>
    <t>Q2 &amp;Q4</t>
  </si>
  <si>
    <t>Funding Source=Comic Relief; Activity=Conduct Biannual tailored OS support review and organizational needs assessment with 17 catalyst fund partners - 17 partners x 3 representatives x 4 days and 5 ZGF staff</t>
  </si>
  <si>
    <t>Objective 3: Selection of CSOs to access Community Resourcing Match Fund (CRMF)</t>
  </si>
  <si>
    <t>Launch of CRMF programme</t>
  </si>
  <si>
    <t>Funding Source=Comic Relief; Strategic Pillar=Supporting CSOS; Programme Objective=Objective 3: Selection of CSOs to access Community Resourcing Match Fund (CRMF); Activity=Launch of CRMF programme</t>
  </si>
  <si>
    <t>Objective 4: Organisational learning</t>
  </si>
  <si>
    <t>1. ZGF Institutional OS</t>
  </si>
  <si>
    <t>OS Plan Activitites</t>
  </si>
  <si>
    <t>Snr Specialist-Risk &amp; Compliance</t>
  </si>
  <si>
    <t>Funding Source=Comic Relief; Strategic Pillar=Supporting CSOS; Programme Objective=Objective 4: Organisational learning; Activity=1. ZGF Institutional OS; ProjCode=4.3</t>
  </si>
  <si>
    <t>2.2027 Planning &amp; Budgeting - Fourth Quarter 2026</t>
  </si>
  <si>
    <t>Annual review and workplanning activity</t>
  </si>
  <si>
    <t>HR &amp; Admin Mgr</t>
  </si>
  <si>
    <t>Funding Source=Comic Relief; Activity=2.2027 Planning &amp; Budgeting - Fourth Quarter 2026</t>
  </si>
  <si>
    <t xml:space="preserve">Human Resource Related Os </t>
  </si>
  <si>
    <t>Funding Source=Comic Relief; Activity=Human Resource Related Os</t>
  </si>
  <si>
    <t>1.Team Building - First Quarter 2026</t>
  </si>
  <si>
    <t>Team Build Activity</t>
  </si>
  <si>
    <t>Funding Source=Comic Relief; Activity=1.Team Building - First Quarter 2026</t>
  </si>
  <si>
    <t>2.Other Employee Engagement Initiatives</t>
  </si>
  <si>
    <t xml:space="preserve">Quarterly Departmental Team build </t>
  </si>
  <si>
    <t>Community Engagement &amp; Field Work</t>
  </si>
  <si>
    <t>4200-030-100-370</t>
  </si>
  <si>
    <t>Community meetings - Refreshments</t>
  </si>
  <si>
    <t>Funding Source=Comic Relief; Activity=2.Other Employee Engagement Initiatives</t>
  </si>
  <si>
    <t>3.Town Halls-Combine with Whole team socials</t>
  </si>
  <si>
    <t>Quarterly beginning Q2</t>
  </si>
  <si>
    <t>Q2,Q3&amp;Q4</t>
  </si>
  <si>
    <t>Funding Source=Comic Relief; Activity=3.Town Halls-Combine with Whole team socials</t>
  </si>
  <si>
    <t>6.Employee Climate / Engagement Survey</t>
  </si>
  <si>
    <t>One Employee Engagement Survey</t>
  </si>
  <si>
    <t>Funding Source=Comic Relief; Activity=6.Employee Climate / Engagement Survey</t>
  </si>
  <si>
    <t>7.Leadership Assessment</t>
  </si>
  <si>
    <t>Leadership Assessment</t>
  </si>
  <si>
    <t>Funding Source=Comic Relief; Activity=7.Leadership Assessment</t>
  </si>
  <si>
    <t>8.IDP Interventions</t>
  </si>
  <si>
    <t>IDP interventions from Performance Contracts</t>
  </si>
  <si>
    <t>Funding Source=Comic Relief; Activity=8.IDP Interventions</t>
  </si>
  <si>
    <t>Organisational management</t>
  </si>
  <si>
    <t>Funding Source=Comic Relief; Activity=Organisational management; ZGFCode=5.1.1</t>
  </si>
  <si>
    <t>1. Board oversight</t>
  </si>
  <si>
    <t>Five Board Meetings(45units) , Six Committee meetings(F&amp;A), Five-A&amp;R, Four(Strategy &amp; Resource, Grants Committees) and Two Nominations Committee</t>
  </si>
  <si>
    <t>Organisational governance</t>
  </si>
  <si>
    <t>CEO</t>
  </si>
  <si>
    <t>Funding Source=Comic Relief; Activity=1. Board oversight; ZGFCode=5.1.1</t>
  </si>
  <si>
    <t>2. Audits</t>
  </si>
  <si>
    <t>Institutional External Audits</t>
  </si>
  <si>
    <t>HoF</t>
  </si>
  <si>
    <t>Q1&amp;Q2</t>
  </si>
  <si>
    <t>Consultancy &amp; Professional Services</t>
  </si>
  <si>
    <t>4300-040-060-255</t>
  </si>
  <si>
    <t>Commission external audit</t>
  </si>
  <si>
    <t>Funding Source=Comic Relief; Activity=2. Audits</t>
  </si>
  <si>
    <t xml:space="preserve">Objective 5: MERL </t>
  </si>
  <si>
    <t>Learning and Convening Events</t>
  </si>
  <si>
    <t>At least 4 learning and convening events</t>
  </si>
  <si>
    <t>Manager CSO &amp; Snr Specialist-MEAL</t>
  </si>
  <si>
    <t>Q2&amp;Q4</t>
  </si>
  <si>
    <t>Funding Source=Comic Relief; Strategic Pillar=Supporting CSOS; Programme Objective=Objective 5: MERL; Activity=Learning and Convening Events</t>
  </si>
  <si>
    <t>Hold annual OS review meetings with consultants _ Qtr 4- one day, 10 consultants</t>
  </si>
  <si>
    <t>Annual review with Service providers</t>
  </si>
  <si>
    <t>Snr Specialist-MEAL &amp; Specialist CB</t>
  </si>
  <si>
    <t>Funding Source=Comic Relief; Activity=Hold annual OS review meetings with consultants _ Qtr 4- one day, 10 consultantsProjCode=3.5</t>
  </si>
  <si>
    <t xml:space="preserve">Conduct Six(6) M&amp;E visits to CSO partners
</t>
  </si>
  <si>
    <t>Six M&amp;E Visits(May , June July, Oct, Nov &amp; Dec)</t>
  </si>
  <si>
    <t>Snr Specialist-MEAL</t>
  </si>
  <si>
    <t>Funding Source=Comic Relief; Strategic Pillar=Supporting CSOS; Activity=Conduct Six(6) M&amp;E visits to CSO partnersProjCode=4.2.2; ZGFCode=1.2</t>
  </si>
  <si>
    <t xml:space="preserve">Out come harvest related activities
</t>
  </si>
  <si>
    <t>Funding Source=Comic Relief; Activity=Out come harvest related activities; ProjCode=4.2; ZGFCode=1.2</t>
  </si>
  <si>
    <t>Facilitate Programme Advisory Board meetings 
- 2 meeting in a year</t>
  </si>
  <si>
    <t>Two PAP meetings(7members)</t>
  </si>
  <si>
    <t>Funding Source=Comic Relief; Activity=Facilitate Programme Advisory Board meetings 
- 2 meeting in a yearProjCode=4.2.8; ZGFCode=1.2</t>
  </si>
  <si>
    <t>Development of M&amp;E model and approaches</t>
  </si>
  <si>
    <t>Staff time input &amp; stationery</t>
  </si>
  <si>
    <t>Q2 &amp; Q3</t>
  </si>
  <si>
    <t>Funding Source=Comic Relief; Strategic Pillar=Supporting CSOS; Activity=Development of M&amp;E model and approachesProjCode=1.3.1; ZGFCode=1.2</t>
  </si>
  <si>
    <t>Objective 6: To champion local philanthropy and diversified funding sources that promote community-led development in Zambia</t>
  </si>
  <si>
    <t>Dissemination of the Mapping of Philanthropy Actors Study</t>
  </si>
  <si>
    <t>Information Dissemination Workshop</t>
  </si>
  <si>
    <t>Promoting community philanthropy</t>
  </si>
  <si>
    <t xml:space="preserve">Manager Philanthropy </t>
  </si>
  <si>
    <t>Philanthropy, Communications &amp; Visibility</t>
  </si>
  <si>
    <t>4200-035-050</t>
  </si>
  <si>
    <t>Run advocacy campaign for philanthropic giving</t>
  </si>
  <si>
    <t>Funding Source=Comic Relief; Strategic Pillar=Building the field of community philanthropy; Programme Objective=Objective 6: To champion local philanthropy and diversified funding sources that promote community-led development in Zambia; Activity=Dissemination of the Mapping of Philanthropy Actors Study</t>
  </si>
  <si>
    <t>Country data collection and compiling input into the World Giving Report</t>
  </si>
  <si>
    <t>Data Collection Exercise</t>
  </si>
  <si>
    <t>Research</t>
  </si>
  <si>
    <t>Manager Philanthropy &amp; Snr Specialist-MEAL</t>
  </si>
  <si>
    <t>Funding Source=Comic Relief; Activity=Country data collection and compiling input into the World Giving Report</t>
  </si>
  <si>
    <t xml:space="preserve">Establishing the Zambia Philanthropy Network - mapping, database, 2 meetings in 2026. </t>
  </si>
  <si>
    <t>Zambia Philanthropy Network</t>
  </si>
  <si>
    <t>Funding Source=Comic Relief; Activity=Establishing the Zambia Philanthropy Network - mapping, database, 2 meetings in 2026.</t>
  </si>
  <si>
    <t>Mapping existing CSOs in  Eastern, Central, and Southern provinces  (Including purchasing of tablets)
- engage local data collectors (4)</t>
  </si>
  <si>
    <t>CSO Mapping Exercise-Feb, Mar&amp;Apr</t>
  </si>
  <si>
    <t>Research - CSOs</t>
  </si>
  <si>
    <t>Funding Source=Comic Relief; Strategic Pillar=Building the field of community philanthropy; Activity=Mapping existing CSOs in  Eastern, Central, and Southern provinces  (Including purchasing of tablets)
- engage local data collectors (4)</t>
  </si>
  <si>
    <t>Cooperate Social Responsibility (CSR) advocacy and partnership building-Research</t>
  </si>
  <si>
    <t>Research - Philanthropy</t>
  </si>
  <si>
    <t>Funding Source=Comic Relief; Strategic Pillar=Building the field of community philanthropy; Activity=Cooperate Social Responsibility (CSR) advocacy and partnership building-Research; ProjCode=4.2; ZGFCode=1.2</t>
  </si>
  <si>
    <t>Objective 7: Communication and networking</t>
  </si>
  <si>
    <t>Media column – why are we shifting power? To feature various ZGF departments offering insights – Zambia Daily Mail</t>
  </si>
  <si>
    <t>10 Media Columns over 10months(Feb-Nov)</t>
  </si>
  <si>
    <t>Networking and partnership building</t>
  </si>
  <si>
    <t>Specialist Communication and Advocacy</t>
  </si>
  <si>
    <t>Funding Source=Comic Relief; Strategic Pillar=Building the field of community philanthropy; Programme Objective=Objective 7: Communication and networking; Activity=Media column – why are we shifting power? To feature various ZGF departments offering insights – Zambia Daily Mail</t>
  </si>
  <si>
    <t>Run an STP public awareness campaign &amp; APN network Subscription</t>
  </si>
  <si>
    <t xml:space="preserve">1 Campaign </t>
  </si>
  <si>
    <t>Funding Source=Comic Relief; Activity=Run an STP public awareness campaign &amp; APN network Subscription</t>
  </si>
  <si>
    <t>Interschool debate</t>
  </si>
  <si>
    <t>1 Event spunning over 10 months(Feb-Nov)</t>
  </si>
  <si>
    <t>Funding Source=Comic Relief; Activity=Interschool debate</t>
  </si>
  <si>
    <t>STP advocacy at the 98th Agricultural &amp; Commercial Show</t>
  </si>
  <si>
    <t>Participate in the Lusaka Agric Show</t>
  </si>
  <si>
    <t>Funding Source=Comic Relief; Activity=STP advocacy at the 98th Agricultural &amp; Commercial Show</t>
  </si>
  <si>
    <t>Radio &amp; TV programmes</t>
  </si>
  <si>
    <t>Two Radio, Four TV programmes</t>
  </si>
  <si>
    <t>Funding Source=Comic Relief; Activity=Radio &amp; TV programmes</t>
  </si>
  <si>
    <t>ZGF STP visibility</t>
  </si>
  <si>
    <t>IEC Materials, Press Briefings</t>
  </si>
  <si>
    <t>Funding Source=Comic Relief; Activity=ZGF STP visibility; ProjCode=10149.999999999998</t>
  </si>
  <si>
    <t>Training for STP reporters</t>
  </si>
  <si>
    <t xml:space="preserve">Train Media on StP </t>
  </si>
  <si>
    <t>Funding Source=Comic Relief; Activity=Training for STP reporters</t>
  </si>
  <si>
    <t>CSSF successful applicants documentary</t>
  </si>
  <si>
    <t>CSSF documentary</t>
  </si>
  <si>
    <t>Funding Source=Comic Relief; Activity=CSSF successful applicants documentary</t>
  </si>
  <si>
    <t>Training ZGF partners on comms strategy development</t>
  </si>
  <si>
    <t>Training on Comms Strategy Development</t>
  </si>
  <si>
    <t>Funding Source=Comic Relief; Activity=Training ZGF partners on comms strategy development</t>
  </si>
  <si>
    <t>Reverse Call for Proposals</t>
  </si>
  <si>
    <t>Second Iteration</t>
  </si>
  <si>
    <t>Q2&amp;Q3</t>
  </si>
  <si>
    <t>Funding Source=Comic Relief; Activity=Reverse Call for Proposals</t>
  </si>
  <si>
    <t>Staff development</t>
  </si>
  <si>
    <t>Staff Costs</t>
  </si>
  <si>
    <t>4300-050-090-320</t>
  </si>
  <si>
    <t>Staff input</t>
  </si>
  <si>
    <t>Funding Source=Comic Relief; Activity=Staff development</t>
  </si>
  <si>
    <t>Operational / running costs</t>
  </si>
  <si>
    <t>1.Staff development - Meals and Phys.Wellness etc</t>
  </si>
  <si>
    <t>Monthly Program Contribution to meals,Wellness programs</t>
  </si>
  <si>
    <t>Staff welfare</t>
  </si>
  <si>
    <t>Monthly</t>
  </si>
  <si>
    <t>Funding Source=Comic Relief; Strategic Pillar=Operations; Programme Objective=Operational / running costs; Activity=1.Staff development - Meals and Phys.Wellness etc; ZGFCode=5</t>
  </si>
  <si>
    <t>2.Staff development -Professional Fees-Staff</t>
  </si>
  <si>
    <t>Staff professional fees</t>
  </si>
  <si>
    <t>Annually</t>
  </si>
  <si>
    <t>Funding Source=Comic Relief; Activity=2.Staff development -Professional Fees-Staff</t>
  </si>
  <si>
    <t>3.Staff development-Annual general meetings-ZICA, SAICA IoD Etc</t>
  </si>
  <si>
    <t>Proffessional staff attendance of Affiliated Prof bodies</t>
  </si>
  <si>
    <t>Funding Source=Comic Relief; Activity=3.Staff development-Annual general meetings-ZICA, SAICA IoD Etc</t>
  </si>
  <si>
    <t>Staff Cost</t>
  </si>
  <si>
    <t>Funding Source=Comic Relief; Activity=Staff Cost; ZGFCode=5.3.0</t>
  </si>
  <si>
    <t>Staff Time Charges</t>
  </si>
  <si>
    <t>Monthly Staff Cost</t>
  </si>
  <si>
    <t>Operational  running costs</t>
  </si>
  <si>
    <t>Funding Source=Comic Relief; Activity=Staff Time Charges</t>
  </si>
  <si>
    <t xml:space="preserve">Medical </t>
  </si>
  <si>
    <t>Annual Premium</t>
  </si>
  <si>
    <t>Funding Source=Comic Relief; Activity=Medical</t>
  </si>
  <si>
    <t>Overheads</t>
  </si>
  <si>
    <t>Monthly Indirect Costs(Overheads)</t>
  </si>
  <si>
    <t>Funding Source=Comic Relief; Activity=Overheads</t>
  </si>
  <si>
    <t>Capital expenditure</t>
  </si>
  <si>
    <t>Capital Expenditure</t>
  </si>
  <si>
    <t>4300-050-095-335</t>
  </si>
  <si>
    <t>Computers and office equipment</t>
  </si>
  <si>
    <t>Funding Source=Comic Relief; Activity=Capital expenditure</t>
  </si>
  <si>
    <t>1.Portable screen projector(1)</t>
  </si>
  <si>
    <t>Purchase Of 1 Projector</t>
  </si>
  <si>
    <t>Project Capital expenditure</t>
  </si>
  <si>
    <t>Snr Specialist-ICT</t>
  </si>
  <si>
    <t>Funding Source=Comic Relief; Activity=1.Portable screen projector(1)</t>
  </si>
  <si>
    <t>2.Conference TV</t>
  </si>
  <si>
    <t>Purchase Of 1 Conference TV</t>
  </si>
  <si>
    <t>Funding Source=Comic Relief; Activity=2.Conference TV</t>
  </si>
  <si>
    <t>3.ERP system</t>
  </si>
  <si>
    <t>Purchase Of 1 ERP system</t>
  </si>
  <si>
    <t>Accountant</t>
  </si>
  <si>
    <t>Funding Source=Comic Relief; Activity=3.ERP system</t>
  </si>
  <si>
    <t>5.Replacement of Laptops</t>
  </si>
  <si>
    <t>Purchase Of 11 Laptops</t>
  </si>
  <si>
    <t>Funding Source=Comic Relief; Activity=5.Replacement of Laptops</t>
  </si>
  <si>
    <t>TOTAL BUDGET</t>
  </si>
  <si>
    <t>Mott Foundation - 2026 Annual work plan budget</t>
  </si>
  <si>
    <t xml:space="preserve"> 1 January to 30 September 2026</t>
  </si>
  <si>
    <t xml:space="preserve"> Name of project:Supporting the development of community foundations in Zambia</t>
  </si>
  <si>
    <t>Budget Distribution Per Quarter</t>
  </si>
  <si>
    <t>Total Budget-USD</t>
  </si>
  <si>
    <t>Strengthening Communities</t>
  </si>
  <si>
    <t>Objective 1.Community Foundation's  community inclusion and Participation</t>
  </si>
  <si>
    <t xml:space="preserve">Hold meetings to discuss CFs inclusion of youth, women, PWD </t>
  </si>
  <si>
    <t>1 training-Luangwa, 1 training- Rufunsa &amp; Chisamba 1training -Chibombo</t>
  </si>
  <si>
    <t>Promoting community-led development</t>
  </si>
  <si>
    <t>Manager CLD</t>
  </si>
  <si>
    <t>5800</t>
  </si>
  <si>
    <t>MOTTIII</t>
  </si>
  <si>
    <t>Funding Source=MOTTIII; Strategic Pillar=Strengthening Communities; Programme Objective=Objective 1.Community Foundation's  community inclusion and Participation; Activity=Hold meetings to discuss CFs inclusion of youth, women, PWD</t>
  </si>
  <si>
    <t>Objective 2.Facilitate establisment of 2 new community foundations</t>
  </si>
  <si>
    <t xml:space="preserve"> Introduce concepts of community-led development and community foundation  ( 2 communities x1 day)</t>
  </si>
  <si>
    <t>Targeted 2 communities Mpuka and Mukonka in Luangwa</t>
  </si>
  <si>
    <t>5200</t>
  </si>
  <si>
    <t>Funding Source=MOTTIII; Strategic Pillar=Strengthening Communities; Programme Objective=Objective 2.Facilitate establisment of 2 new community foundations; Activity=Introduce concepts of community-led development and community foundation  ( 2 communities x1 day)</t>
  </si>
  <si>
    <t xml:space="preserve"> Introduction to by laws, articles of incorporation </t>
  </si>
  <si>
    <t>Funding Source=MOTTIII; Activity=Introduction to by laws, articles of incorporation</t>
  </si>
  <si>
    <t>Facilitate consensus building meetings for registration of community foundations and asset mapping exercise for 2 communities  (2x1x40 people)</t>
  </si>
  <si>
    <t>Funding Source=MOTTIII; Activity=Facilitate consensus building meetings for registration of community foundations and asset mapping exercise for 2 communities  (2x1x40 people)</t>
  </si>
  <si>
    <t>Develop a community profile  (2x1dayx30 pp lunch)</t>
  </si>
  <si>
    <t>Funding Source=MOTTIII; Activity=Develop a community profile  (2x1dayx30 pp lunch)</t>
  </si>
  <si>
    <t xml:space="preserve"> Conduct business and entrepreneurship training and community project identification exercise (2x5daysx30 pp lunch)</t>
  </si>
  <si>
    <t>New CFs Mpuka and Mukonka Communities in Luangwa</t>
  </si>
  <si>
    <t>Participatory grant making</t>
  </si>
  <si>
    <t>5400</t>
  </si>
  <si>
    <t>Funding Source=MOTTIII; Activity=Conduct business and entrepreneurship training and community project identification exercise (2x5daysx30 pp lunch); ProjCode=1.2.6</t>
  </si>
  <si>
    <t xml:space="preserve"> Conduct environmental studies (2x1 day x 30 pp lunch)</t>
  </si>
  <si>
    <t>Train Mpuka and Mukonka Communities in Luangwa</t>
  </si>
  <si>
    <t>Funding Source=MOTTIII; Activity=Conduct environmental studies (2x1 day x 30 pp lunch); ProjCode=2.6; ZGFCode=2.1</t>
  </si>
  <si>
    <t>Conduct peer review for action plans, budget and business plans (2x1dayx35 pp lunch; 8 transport refunds and full per diems for CFs)</t>
  </si>
  <si>
    <t>Mpuka and Mukonka Communities in Luangwa-Participatory grant making process</t>
  </si>
  <si>
    <t>Grants and contract management</t>
  </si>
  <si>
    <t>5500</t>
  </si>
  <si>
    <t>4200-030-022-360</t>
  </si>
  <si>
    <t>Conduct community trainings - Fuel</t>
  </si>
  <si>
    <t>Funding Source=MOTTIII; Activity=Conduct peer review for action plans, budget and business plans (2x1dayx35 pp lunch; 8 transport refunds and full per diems for CFs); ProjCode=3.5</t>
  </si>
  <si>
    <t>Submission of business plans and budgets to the grants committee (Grants committee members fees for 1 day)</t>
  </si>
  <si>
    <t>Grants Committee review of Mpuka and Mukonka Communities in Luangwa-Participatory grant making process</t>
  </si>
  <si>
    <t>5100</t>
  </si>
  <si>
    <t>Funding Source=MOTTIII; Activity=Submission of business plans and budgets to the grants committee (Grants committee members fees for 1 day); ProjCode=5.3; ZGFCode=2.3</t>
  </si>
  <si>
    <t>Grants and programmes orientation 2 x 1 day per CF x 5 people per org</t>
  </si>
  <si>
    <t>Orient Kankole, Mpuka and Mukonka Communities in Luangwa</t>
  </si>
  <si>
    <t>Funding Source=MOTTIII; Activity=Grants and programmes orientation 2 x 1 day per CF x 5 people per org</t>
  </si>
  <si>
    <t>Grants disbursment</t>
  </si>
  <si>
    <t>Matching grant disbursements Kankole, Mpuka and Mukonka Communities in Luangwa</t>
  </si>
  <si>
    <t>Funding Source=MOTTIII; Activity=Grants disbursment</t>
  </si>
  <si>
    <t>Objective 3. Close-out  of Mott III</t>
  </si>
  <si>
    <t>Conduct Close-out exercise (9CFs X 4 staff X 3 days)</t>
  </si>
  <si>
    <t>Mott3 close out Exercise with CFs</t>
  </si>
  <si>
    <t>5700</t>
  </si>
  <si>
    <t>Funding Source=MOTTIII; Strategic Pillar=Strengthening Communities; Programme Objective=Objective 3. Close-out  of Mott III; Activity=Conduct Close-out exercise (9CFs X 4 staff X 3 days)</t>
  </si>
  <si>
    <t xml:space="preserve">Objective 4. Explore registration of CFs as Trusts </t>
  </si>
  <si>
    <t>Engage community foundation on registration as Trust</t>
  </si>
  <si>
    <t>Engage CF's in Luangwa, Rufunsa and Chibombo</t>
  </si>
  <si>
    <t>Funding Source=MOTTIII; Strategic Pillar=Strengthening Communities; Programme Objective=Objective 4. Explore registration of CFs as Trusts; Activity=Engage community foundation on registration as Trust</t>
  </si>
  <si>
    <t>Objective 5.Strengthen CFs governance structures and capacity ( 11 community Foundations)</t>
  </si>
  <si>
    <t>Conduct CFs Leadership and Governance training (11 CFs x3daysx20 pp in Luangwa, Rufunsa &amp; Chibombo)</t>
  </si>
  <si>
    <t>Train 11 CF's in Luangwa, Rufunsa and Chibombo</t>
  </si>
  <si>
    <t>Supporting demand based capacity development</t>
  </si>
  <si>
    <t>Funding Source=MOTTIII; Strategic Pillar=Strengthening Communities; Programme Objective=Objective 5.Strengthen CFs governance structures and capacity ( 11 community Foundations); Activity=Conduct CFs Leadership and Governance training (11 CFs x3daysx20 pp in Luangwa, Rufunsa &amp; Chibombo); ProjCode=4.1.4</t>
  </si>
  <si>
    <t>Train 11CFs committees in various functions-in Luangwa, Rufunsa &amp; Chibombo</t>
  </si>
  <si>
    <t>Funding Source=MOTTIII; Activity=Train 11CFs committees in various functions-in Luangwa, Rufunsa &amp; Chibombo</t>
  </si>
  <si>
    <t>Support resource mobilization efforts at community level-in Luangwa, Rufunsa &amp; Chibombo</t>
  </si>
  <si>
    <t>Support the  11 CF's in Luangwa, Rufunsa and Chibombo</t>
  </si>
  <si>
    <t>Supporting community financial asset building</t>
  </si>
  <si>
    <t>Funding Source=MOTTIII; Activity=Support resource mobilization efforts at community level-in Luangwa, Rufunsa &amp; Chibombo</t>
  </si>
  <si>
    <t>Building the Field of Community Philanthropy</t>
  </si>
  <si>
    <t>Objective 6.Establishment of CF community fund</t>
  </si>
  <si>
    <t xml:space="preserve"> Initiate establishment of  CF's  community fund -Staff time</t>
  </si>
  <si>
    <t>Support 11 CF's in Luangwa, Rufunsa and Chibombo to setup a community fund</t>
  </si>
  <si>
    <t>Funding Source=MOTTIII; Strategic Pillar=Building the Field of Community Philanthropy; Programme Objective=Objective 6.Establishment of CF community fund; Activity=Initiate establishment of  CF's  community fund -Staff time; ProjCode=2</t>
  </si>
  <si>
    <t>Objective 7.Mott 2026-2028 Brainstorming: Repositioning Community Foundation Model</t>
  </si>
  <si>
    <t>Conduct field visit to 3 Districts</t>
  </si>
  <si>
    <t xml:space="preserve">Repositioning the CF model </t>
  </si>
  <si>
    <t>Funding Source=MOTTIII; Strategic Pillar=Strengthening Communities; Programme Objective=Objective 7.Mott 2026-2028 Brainstorming: Repositioning Community Foundation Model; Activity=Conduct field visit to 3 Districts</t>
  </si>
  <si>
    <t xml:space="preserve">Objective 8.Facilitate networking  of sustainable agriculture (agroecology) </t>
  </si>
  <si>
    <t>Conduct training in climate change adaptation and land management (FMNR) in 3 Districts</t>
  </si>
  <si>
    <t>Funding Source=MOTTIII; Strategic Pillar=Strengthening Communities; Programme Objective=Objective 8.Facilitate networking  of sustainable agriculture (agroecology); Activity=Conduct training in climate change adaptation and land management (FMNR) in 3 Districts</t>
  </si>
  <si>
    <t>Objective 9.Offer Cfs support in various aspects of financial asset building</t>
  </si>
  <si>
    <t>Offer CFs support in various aspects of financial asset building in 3 Districts</t>
  </si>
  <si>
    <t xml:space="preserve">Support 11 CF's in Luangwa, Rufunsa and Chibombo </t>
  </si>
  <si>
    <t>Q1,Q2&amp;Q3</t>
  </si>
  <si>
    <t>Funding Source=MOTTIII; Strategic Pillar=Strengthening Communities; Programme Objective=Objective 9.Offer Cfs support in various aspects of financial asset building; Activity=Offer CFs support in various aspects of financial asset building in 3 Districts; ProjCode=6</t>
  </si>
  <si>
    <t xml:space="preserve">Objective 10.0 Staff development </t>
  </si>
  <si>
    <t>Explore registration with CAPSI                                                                                                                                                                             Conduct funding proposals development training for staff</t>
  </si>
  <si>
    <t>ZGF staff development</t>
  </si>
  <si>
    <t>Funding Source=MOTTIII; Programme Objective=Objective 10.0 Staff development; Activity=Explore registration with CAPSI                                                                                                                                                                             Conduct funding proposals development training for staff</t>
  </si>
  <si>
    <t>Objective 11.0 M&amp;E</t>
  </si>
  <si>
    <t xml:space="preserve">Grants M&amp;E Visits </t>
  </si>
  <si>
    <t>Grant M&amp;E activities</t>
  </si>
  <si>
    <t>Snr Specialist MEAL</t>
  </si>
  <si>
    <t>Funding Source=MOTTIII; Strategic Pillar=Strengthening Communities; Programme Objective=Objective 11.0 M&amp;E; Activity=Grants M&amp;E Visits</t>
  </si>
  <si>
    <t>Objective 12.0 Communications and Networking</t>
  </si>
  <si>
    <t>Support the launch of CF'S Strategic Plans (1 launch)</t>
  </si>
  <si>
    <t>Launching of CFs strategies</t>
  </si>
  <si>
    <t>Specialist-Comms &amp; Advocacy</t>
  </si>
  <si>
    <t>Funding Source=MOTTIII; Strategic Pillar=Strengthening Communities; Programme Objective=Objective 12.0 Communications and Networking; Activity=Support the launch of CF'S Strategic Plans (1 launch)</t>
  </si>
  <si>
    <t>Media and CSO partners familiarisation trip to two communities</t>
  </si>
  <si>
    <t>One trip to 2 communities</t>
  </si>
  <si>
    <t>5300</t>
  </si>
  <si>
    <t>Funding Source=MOTTIII; Strategic Pillar=Building the Field of Community Philanthropy; Activity=Media and CSO partners familiarisation trip to two communities</t>
  </si>
  <si>
    <t>Courtesy call to ministry of local government</t>
  </si>
  <si>
    <t>Funding Source=MOTTIII; Activity=Courtesy call to ministry of local government</t>
  </si>
  <si>
    <t xml:space="preserve">CF Documentaries </t>
  </si>
  <si>
    <t>1 CF Documentary</t>
  </si>
  <si>
    <t>Funding Source=MOTTIII; Activity=CF Documentaries; ProjCode=13.2</t>
  </si>
  <si>
    <t>Regional Conferences</t>
  </si>
  <si>
    <t xml:space="preserve">Participation in Community Foundations regional </t>
  </si>
  <si>
    <t>Funding Source=MOTTIII; Activity=Regional Conferences</t>
  </si>
  <si>
    <t xml:space="preserve">CSO Fair </t>
  </si>
  <si>
    <t>CSO Fair: Strengthening community resilience through locally-led initiatives</t>
  </si>
  <si>
    <t>Funding Source=MOTTIII; Activity=CSO Fair; ProjCode=13.1; ZGFCode=3.2</t>
  </si>
  <si>
    <t xml:space="preserve"> Radio and TV programmes dicussing CF and CLD</t>
  </si>
  <si>
    <t>Radio and TV programmes dicussing CF and CLD</t>
  </si>
  <si>
    <t>Q1&amp;Q3</t>
  </si>
  <si>
    <t>Funding Source=MOTTIII; Activity=Radio and TV programmes dicussing CF and CLD</t>
  </si>
  <si>
    <t>Funding Source=MOTTIII; Strategic Pillar=Operations; Programme Objective=Operational / running costs; Activity=Staff Time Charges</t>
  </si>
  <si>
    <t>Q1,Q2&amp;Q4</t>
  </si>
  <si>
    <t>Funding Source=MOTTIII; Activity=Overheads; ZGFCode=5.3.1.2</t>
  </si>
  <si>
    <t>Funding Source=MOTTIII; Strategic Pillar=TOTAL BUDGET; Programme Objective=TOTAL BUDGET</t>
  </si>
  <si>
    <t>Kalulu - 2026 Annual work plan budget</t>
  </si>
  <si>
    <t xml:space="preserve">Name of project:Community-led development through youth-led entrepreneurship </t>
  </si>
  <si>
    <t xml:space="preserve">Objective 1: Promote the establishment of youth-led businesses and cooperatives, with a special focus on out of school adolescent girls and young women </t>
  </si>
  <si>
    <t>Facilitate project identification and action planning in each community</t>
  </si>
  <si>
    <t>Business proposals and action plans -3 Communities(Chipata, Mandevu,Chawama)</t>
  </si>
  <si>
    <t>Funding Source=KaluluII; Strategic Pillar=Strengthening Communities; Programme Objective=Objective 1: Promote the establishment of youth-led businesses and cooperatives, with a special focus on out of school adolescent girls and young women; Activity=Facilitate project identification and action planning in each community</t>
  </si>
  <si>
    <t>Provide matching and people’s grants to successful projects chosen by the Peer Review Committee in line with our participatory grant making guidelines</t>
  </si>
  <si>
    <t xml:space="preserve">Disburse 6 Matching Grants 3 communities </t>
  </si>
  <si>
    <t>Funding Source=KaluluII; Activity=Provide matching and people’s grants to successful projects chosen by the Peer Review Committee in line with our participatory grant making guidelines</t>
  </si>
  <si>
    <t>Sensitize the wider community and engage families youth-led businesses and cooperatives ( mixed advertisement approaches)</t>
  </si>
  <si>
    <t>2 Radio adverts &amp; 2 Social Media posts</t>
  </si>
  <si>
    <t>Funding Source=KaluluII; Activity=Sensitize the wider community and engage families youth-led businesses and cooperatives ( mixed advertisement approaches)</t>
  </si>
  <si>
    <t xml:space="preserve"> Provide mentorship support for managers of youth-led business and cooperatives</t>
  </si>
  <si>
    <t>Provided mentors with training manuals, Mentors to submit Attendance lists for meetings-Staff time</t>
  </si>
  <si>
    <t>Capacity Development</t>
  </si>
  <si>
    <t>Q1,Q2,Q3&amp;Q4</t>
  </si>
  <si>
    <t>Funding Source=KaluluII; Activity=Provide mentorship support for managers of youth-led business and cooperatives</t>
  </si>
  <si>
    <t>Support the formation, training and mentoring of saving groups</t>
  </si>
  <si>
    <t>5 trainings per communities(Chipata, Mandevu,Chawama)</t>
  </si>
  <si>
    <t>Funding Source=KaluluII; Activity=Support the formation, training and mentoring of saving groups</t>
  </si>
  <si>
    <t>Capacity development support (active citizenship, access to CDF, financial literacy, FM, technical &amp; life skills &amp; other demand based training) and mentorship support</t>
  </si>
  <si>
    <t>Youth capacited in essential business,basic  financial litercay and ability to make informed economic decisions</t>
  </si>
  <si>
    <t>Funding Source=KaluluII; Activity=Capacity development support (active citizenship, access to CDF, financial literacy, FM, technical &amp; life skills &amp; other demand based training) and mentorship support</t>
  </si>
  <si>
    <t>Provide regular communication and networking platforms</t>
  </si>
  <si>
    <t>2 events twice a year</t>
  </si>
  <si>
    <t>Funding Source=KaluluII; Strategic Pillar=Building the Field of Community Philanthropy; Activity=Provide regular communication and networking platforms</t>
  </si>
  <si>
    <t>Objective 2: Catalyse the establishment of youth-led community-based waste management businesses and cooperatives</t>
  </si>
  <si>
    <t>Mobilise youths engaged in informal waste collection in the targeted communities</t>
  </si>
  <si>
    <t>Increased participation of young people in organized waste management initiatives</t>
  </si>
  <si>
    <t>Funding Source=KaluluII; Strategic Pillar=Strengthening Communities; Programme Objective=Objective 2: Catalyse the establishment of youth-led community-based waste management businesses and cooperatives; Activity=Mobilise youths engaged in informal waste collection in the targeted communities</t>
  </si>
  <si>
    <t xml:space="preserve">Sensitise youths about the benefits of responsible waste management. </t>
  </si>
  <si>
    <t>3 cleanup meetings</t>
  </si>
  <si>
    <t>Q1,Q3&amp;Q4</t>
  </si>
  <si>
    <t>Funding Source=KaluluII; Activity=Sensitise youths about the benefits of responsible waste management.</t>
  </si>
  <si>
    <t>Engage the local council and other local stakeholders</t>
  </si>
  <si>
    <t>Strengthened collaboration between youth groups and local authorities on waste management initiatives.</t>
  </si>
  <si>
    <t>Funding Source=KaluluII; Strategic Pillar=Building the Field of Community Philanthropy; Activity=Engage the local council and other local stakeholders</t>
  </si>
  <si>
    <t>Capacity development support (active Citizenship, financial literacy, FM, technical and life skills) and mentorship support</t>
  </si>
  <si>
    <t>Youth, gain essential business, financial, and civic competencies.</t>
  </si>
  <si>
    <t>Funding Source=KaluluII; Strategic Pillar=Strengthening Communities; Activity=Capacity development support (active Citizenship, financial literacy, FM, technical and life skills) and mentorship support</t>
  </si>
  <si>
    <t>Facilitate project identification and action planning on waste management</t>
  </si>
  <si>
    <t>Youth identify viable, community-driven waste management business opportunities e.g recycling, composting, waste collection services</t>
  </si>
  <si>
    <t>Funding Source=KaluluII; Activity=Facilitate project identification and action planning on waste management</t>
  </si>
  <si>
    <t xml:space="preserve">Provide matching and people’s grants to successful projects </t>
  </si>
  <si>
    <t xml:space="preserve">Disburse 5 Matching grants to 3 communities </t>
  </si>
  <si>
    <t>Funding Source=KaluluII; Activity=Provide matching and people’s grants to successful projects</t>
  </si>
  <si>
    <t>Sensitise communities and engage families on waste management</t>
  </si>
  <si>
    <t>Increased community awareness and acceptance of youth-led waste management initiatives</t>
  </si>
  <si>
    <t>Funding Source=KaluluII; Activity=Sensitise communities and engage families on waste management</t>
  </si>
  <si>
    <t xml:space="preserve">Provide regular communication and networking platforms </t>
  </si>
  <si>
    <t xml:space="preserve">Objective 3: Develop and nurture the linkages between community-based youth-led enterprises and vertical stakeholders </t>
  </si>
  <si>
    <t>Run a public awareness campaign to showcase and advance linkages and build partnerships (mixed advertisement approaches)</t>
  </si>
  <si>
    <t xml:space="preserve">2 radio adverts x 2 Social media adverts x 2 times </t>
  </si>
  <si>
    <t>Funding Source=KaluluII; Strategic Pillar=Building the Field of Community Philanthropy; Programme Objective=Objective 3: Develop and nurture the linkages between community-based youth-led enterprises and vertical stakeholders; Activity=Run a public awareness campaign to showcase and advance linkages and build partnerships (mixed advertisement approaches)</t>
  </si>
  <si>
    <t>Peer to peer learning visits</t>
  </si>
  <si>
    <t>Enhance knowledge sharing and capacity building among youth groups and stakeholders</t>
  </si>
  <si>
    <t>Funding Source=KaluluII; Strategic Pillar=Strengthening Communities; Programme Objective=Monitoring and Evaluation; Activity=Peer to peer learning visits</t>
  </si>
  <si>
    <t>Monitoring and Compliance visits</t>
  </si>
  <si>
    <t>Verify progress on project indicators and data quality assurance and ensure compliance with funder regulations</t>
  </si>
  <si>
    <t>Funding Source=KaluluII; Activity=Monitoring and Compliance visits; ProjCode=4.2.6</t>
  </si>
  <si>
    <t>Total Direct Costs &amp; M&amp;E</t>
  </si>
  <si>
    <t>Funding Source=KaluluII; Programme Objective=Total Direct Costs &amp; M&amp;E; ProjCode=4.2.4</t>
  </si>
  <si>
    <t>Òperations</t>
  </si>
  <si>
    <t>Overheads(7%) Of Direct cost</t>
  </si>
  <si>
    <t>Funding Source=KaluluII; Strategic Pillar=Òperations; Programme Objective=Òperational /Running costs; Activity=Overheads(7%) Of Direct cost</t>
  </si>
  <si>
    <t>Staff Input</t>
  </si>
  <si>
    <t>Funding Source=KaluluII; Activity=Staff Input</t>
  </si>
  <si>
    <t>2026 Annual work plan budget-ZGF</t>
  </si>
  <si>
    <t>Currency</t>
  </si>
  <si>
    <t>Total Cost</t>
  </si>
  <si>
    <t>Convene ZGF  AGM</t>
  </si>
  <si>
    <t>2026 AGM-Sitting allowances and refreshments</t>
  </si>
  <si>
    <t>ZMW</t>
  </si>
  <si>
    <t>Funding Source=ZGF; Strategic Pillar=Operations; Programme Objective=Organisational governance; Activity=Convene ZGF  AGM</t>
  </si>
  <si>
    <t>Depreciation Charges-not a cash driven overhead</t>
  </si>
  <si>
    <t>Monthly charge</t>
  </si>
  <si>
    <t>Q1,Q2,Q3&amp; Q4</t>
  </si>
  <si>
    <t>Funding Source=ZGF; Programme Objective=Asset Management; Activity=Depreciation Charges-not a cash driven overhead</t>
  </si>
  <si>
    <t>Accrued liabilities-ZRA (25% of penalties)</t>
  </si>
  <si>
    <t>Pay Long oustanding  Liabilities post Amnesty</t>
  </si>
  <si>
    <t>Funding Source=ZGF; Programme Objective=Clear Old long outstanding Liabilities; Activity=Accrued liabilities-ZRA (25% of penalties)</t>
  </si>
  <si>
    <t xml:space="preserve">Accrued liabilities-Legal fees </t>
  </si>
  <si>
    <t>Legal Fees</t>
  </si>
  <si>
    <t>Funding Source=ZGF; Programme Objective=Clear Old long outstanding Liabilities; Activity=Accrued liabilities-Legal fees</t>
  </si>
  <si>
    <t xml:space="preserve"> Overheads</t>
  </si>
  <si>
    <t>General Overheads</t>
  </si>
  <si>
    <t>Funding Source=ZGF; Programme Objective=Indirect Costs; Activity=Overheads</t>
  </si>
  <si>
    <t>Bank Charges-ZGF Corporate A/Cs</t>
  </si>
  <si>
    <t>Monthly Bank charges</t>
  </si>
  <si>
    <t>Funding Source=ZGF; Programme Objective=Bank Charges; Activity=Bank Charges-ZGF Corporate A/Cs</t>
  </si>
  <si>
    <t>Intervention</t>
  </si>
  <si>
    <t>KPI</t>
  </si>
  <si>
    <t>Targeted outcome</t>
  </si>
  <si>
    <t>1. Strengthen Budget Ownership (Most Impactful)</t>
  </si>
  <si>
    <t xml:space="preserve">1.Enhance monitoring and accountability of planned programme activities.                                    Problem: Finance monitors numbers, but programs enforces spending             </t>
  </si>
  <si>
    <t>1. Activity owner budget performance to be included in their performance contracting                                                                                                                                                                                                         2.Budget owner must track their programme budgets</t>
  </si>
  <si>
    <t>Strengthen Budget ownership , accountability and improve burnrate focus</t>
  </si>
  <si>
    <t>Problem: Finance monitors numbers, but programs control spending.</t>
  </si>
  <si>
    <t xml:space="preserve">2.Strengthen operational systems and internal controls </t>
  </si>
  <si>
    <t xml:space="preserve"> Programme procurement planning,Contract management, etc</t>
  </si>
  <si>
    <t>Operational Effeciency</t>
  </si>
  <si>
    <t>Practical actions</t>
  </si>
  <si>
    <t>3.Optimise organisation wide coordination for improved operational efficiency</t>
  </si>
  <si>
    <t>Monthly Finance–Budget holders Review Meetings</t>
  </si>
  <si>
    <t>Proactive programme management-flag delays, accelerations, or underspends early</t>
  </si>
  <si>
    <t>Assign a budget holder per cost centre / project (not just per department).</t>
  </si>
  <si>
    <t>Require budget holders to:</t>
  </si>
  <si>
    <t>Review monthly actual vs budget reports</t>
  </si>
  <si>
    <t>Sign off on explanations for variances above an agreed threshold (e.g. ±10%)</t>
  </si>
  <si>
    <t>Include budget performance in manager KPIs or performance reviews.</t>
  </si>
  <si>
    <t>✅ Result: Spending decisions improve because accountability is clear.</t>
  </si>
  <si>
    <t>2. Introduce a Simple Burn Rate Dashboard</t>
  </si>
  <si>
    <t>Avoid complex reports that no one reads.</t>
  </si>
  <si>
    <t>Minimum dashboard fields</t>
  </si>
  <si>
    <t>Approved budget</t>
  </si>
  <si>
    <t>Cumulative actuals</t>
  </si>
  <si>
    <t>% burn rate</t>
  </si>
  <si>
    <t>Months remaining</t>
  </si>
  <si>
    <t>Forecasted year-end variance</t>
  </si>
  <si>
    <t>Practical tip</t>
  </si>
  <si>
    <t>Use traffic lights:</t>
  </si>
  <si>
    <t>🔴 Over-burning</t>
  </si>
  <si>
    <t>🟡 On track</t>
  </si>
  <si>
    <t>🟢 Under-burning</t>
  </si>
  <si>
    <t>Share this dashboard monthly with SMT and program leads, not just finance.</t>
  </si>
  <si>
    <t>3. Shift from “Budget vs Actual” to “Budget vs Forecast”</t>
  </si>
  <si>
    <t>Many NGOs fail because they look backward only.</t>
  </si>
  <si>
    <t>Introduce a rolling forecast updated monthly or quarterly:</t>
  </si>
  <si>
    <t>What do we expect to spend by year-end?</t>
  </si>
  <si>
    <t>Require programs to:</t>
  </si>
  <si>
    <t>Re-forecast activity timelines and costs</t>
  </si>
  <si>
    <t>Flag delays, accelerations, or underspends early</t>
  </si>
  <si>
    <t>✅ This improves burn rate predictability and donor compliance.</t>
  </si>
  <si>
    <t>4. Tighten Commitment Controls (Before Cash Is Spent)</t>
  </si>
  <si>
    <t>Problem: Monitoring happens after money is already spent.</t>
  </si>
  <si>
    <t>Practical controls</t>
  </si>
  <si>
    <t>Track commitments (POs, contracts, approved requests) against budgets.</t>
  </si>
  <si>
    <t>Introduce:</t>
  </si>
  <si>
    <t>Purchase requisitions checked against available budget</t>
  </si>
  <si>
    <t>Simple commitment register per project</t>
  </si>
  <si>
    <t>Even a manual Excel commitment tracker can significantly improve burn rate discipline.</t>
  </si>
  <si>
    <t>5. Set Clear Variance Thresholds and Escalation Rules</t>
  </si>
  <si>
    <t>Avoid debating every small variance.</t>
  </si>
  <si>
    <t>Example thresholds</t>
  </si>
  <si>
    <t>±5% → No explanation required</t>
  </si>
  <si>
    <t>5–10% → Written explanation by budget holder</t>
  </si>
  <si>
    <t>10% → SMT review and corrective action</t>
  </si>
  <si>
    <t>Document this in a Budget Monitoring SOP.</t>
  </si>
  <si>
    <t>6. Improve Activity-Based Budgeting and Monitoring</t>
  </si>
  <si>
    <t>Burn rate issues often come from poor activity planning.</t>
  </si>
  <si>
    <t>Link budgets to clear activity timelines (quarterly or monthly).</t>
  </si>
  <si>
    <t>Monitor:</t>
  </si>
  <si>
    <t>Activity completed vs budget spent</t>
  </si>
  <si>
    <t>Ask regularly:</t>
  </si>
  <si>
    <t>“Are we spending because the activity happened, or because money was available?”</t>
  </si>
  <si>
    <t>This is critical for grants with strict donor timelines.</t>
  </si>
  <si>
    <t>7. Monthly Finance–Programme Review Meetings</t>
  </si>
  <si>
    <t>Replace email back-and-forth with structured conversations.</t>
  </si>
  <si>
    <t>Meeting agenda (30–45 mins)</t>
  </si>
  <si>
    <t>Review burn rate dashboard</t>
  </si>
  <si>
    <t>Discuss top 3 variances</t>
  </si>
  <si>
    <t>Identify under-spend or over-spend risks</t>
  </si>
  <si>
    <t>Agree corrective actions (rephasing, reallocations, acceleration)</t>
  </si>
  <si>
    <t>Document actions and follow up the next month.</t>
  </si>
  <si>
    <t>8. Rephase Budgets Early and Proactively</t>
  </si>
  <si>
    <t>Under-burning is also a risk.</t>
  </si>
  <si>
    <t>Quarterly review of:</t>
  </si>
  <si>
    <t>Delayed activities</t>
  </si>
  <si>
    <t>Staffing gaps</t>
  </si>
  <si>
    <t>Procurement bottlenecks</t>
  </si>
  <si>
    <t>Rephase budgets formally (donor-approved where required).</t>
  </si>
  <si>
    <t>This prevents last-minute spending or funding losses.</t>
  </si>
  <si>
    <t>9. Strengthen Donor-Specific Budget Monitoring</t>
  </si>
  <si>
    <t>If you manage multiple donors:</t>
  </si>
  <si>
    <t>Produce donor-specific burn rate reports, not just organisational ones.</t>
  </si>
  <si>
    <t>Flag:</t>
  </si>
  <si>
    <t>Overlapping cost lines</t>
  </si>
  <si>
    <t>Shared costs allocations</t>
  </si>
  <si>
    <t>Monitor donor burn rate vs contract period, not financial year only.</t>
  </si>
  <si>
    <t>10. Build Budget Literacy (Low Cost, High Return)</t>
  </si>
  <si>
    <t>Often burn rate issues are skills-related</t>
  </si>
  <si>
    <t>Short quarterly clinics for non-finance staff on:</t>
  </si>
  <si>
    <t>Reading budget reports</t>
  </si>
  <si>
    <t>Understanding burn rate</t>
  </si>
  <si>
    <t>Forecasting basics</t>
  </si>
  <si>
    <t>Use real project examples, not theory.</t>
  </si>
  <si>
    <t>11. Link Cash Flow Monitoring to Burn Rate</t>
  </si>
  <si>
    <t>Spending without cash visibility causes panic.</t>
  </si>
  <si>
    <t>Monthly cash flow vs burn rate review.</t>
  </si>
  <si>
    <t>High burn + delayed disbursements</t>
  </si>
  <si>
    <t>Large commitments without confirmed funding</t>
  </si>
  <si>
    <t>12. Use “No-Surprises” Reporting</t>
  </si>
  <si>
    <t>Create a culture where issues are raised early.</t>
  </si>
  <si>
    <t>Practical rule</t>
  </si>
  <si>
    <t>Any risk of:</t>
  </si>
  <si>
    <t>10% underspend</t>
  </si>
  <si>
    <t>10% overspend</t>
  </si>
  <si>
    <t>Missed donor deadlines</t>
  </si>
  <si>
    <t>must be reported as soon as identified, not at month-end.</t>
  </si>
  <si>
    <t>1.1.2</t>
  </si>
  <si>
    <t>1.2.2</t>
  </si>
  <si>
    <t>2.1.2</t>
  </si>
  <si>
    <t>2.1.3</t>
  </si>
  <si>
    <t>2.2.1</t>
  </si>
  <si>
    <t>2.2.2</t>
  </si>
  <si>
    <t>4.1.4</t>
  </si>
  <si>
    <t xml:space="preserve"> Selection of CSOs to access Community Resourcing Match Fund (CRMF</t>
  </si>
  <si>
    <t>Conduct   capacity building training</t>
  </si>
  <si>
    <t>Operations &amp; Governance</t>
  </si>
  <si>
    <t>Board oversight/governance</t>
  </si>
  <si>
    <t xml:space="preserve">MERL </t>
  </si>
  <si>
    <t>Run advocacy campaign for REVERSE CALL</t>
  </si>
  <si>
    <t>Pillars:</t>
  </si>
  <si>
    <t>Categories</t>
  </si>
  <si>
    <t>Objectives are project specific</t>
  </si>
  <si>
    <t>Training &amp; Learning (Capacity development)</t>
  </si>
  <si>
    <t>Community Engagement &amp; Field Work (Capacity Development)</t>
  </si>
  <si>
    <t>Operations &amp; Governance (Overheads)</t>
  </si>
  <si>
    <t>1.1.1</t>
  </si>
  <si>
    <t>1.4.2</t>
  </si>
  <si>
    <t>1.4.4</t>
  </si>
  <si>
    <t>1.4.3</t>
  </si>
  <si>
    <t>1.4.6</t>
  </si>
  <si>
    <t>1.5.1</t>
  </si>
  <si>
    <t>3.6.5</t>
  </si>
  <si>
    <t>3.7.5</t>
  </si>
  <si>
    <t>3.7.2</t>
  </si>
  <si>
    <t>3.7.1</t>
  </si>
  <si>
    <t>Ovearheads</t>
  </si>
  <si>
    <t>Objective 8: Operational / running costs</t>
  </si>
  <si>
    <t>4.8.4</t>
  </si>
  <si>
    <t>2.2.3</t>
  </si>
  <si>
    <t>2.3.4</t>
  </si>
  <si>
    <t>2.4.3</t>
  </si>
  <si>
    <t>2.5.1</t>
  </si>
  <si>
    <t>2.6.3</t>
  </si>
  <si>
    <t>2.7.2</t>
  </si>
  <si>
    <t>2.8.2</t>
  </si>
  <si>
    <t>2.9.1</t>
  </si>
  <si>
    <t>2.10.2</t>
  </si>
  <si>
    <t>2.11.1</t>
  </si>
  <si>
    <t>2.12.3</t>
  </si>
  <si>
    <t>3.12.3</t>
  </si>
  <si>
    <t>The first number is the pillar, second number objective according to project and SMART budget, third number is category</t>
  </si>
  <si>
    <t>3.12.5</t>
  </si>
  <si>
    <t>4.13.4</t>
  </si>
  <si>
    <t>Objective 13: Operational / running costs</t>
  </si>
  <si>
    <t>2.1.1</t>
  </si>
  <si>
    <t>3.1.5</t>
  </si>
  <si>
    <t>3.2.5</t>
  </si>
  <si>
    <t>3.3.5</t>
  </si>
  <si>
    <t>Objective 4: Monitoring and Evaluation</t>
  </si>
  <si>
    <t>Objective 5:Òperational /Running costs</t>
  </si>
  <si>
    <t>2.4.1</t>
  </si>
  <si>
    <t>4.5.4</t>
  </si>
  <si>
    <t>1. Organisational governance</t>
  </si>
  <si>
    <t>2.Asset Management</t>
  </si>
  <si>
    <t>3.Clear Old long outstanding Liabilities</t>
  </si>
  <si>
    <t>4.Clear Old long outstanding Liabilities</t>
  </si>
  <si>
    <t>5.Indirect Costs</t>
  </si>
  <si>
    <t>6.Bank Charges</t>
  </si>
  <si>
    <t>The codes are derived from the Pillar, Objective and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</si>
</sst>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rebuchet MS"/>
      <family val="2"/>
    </font>
    <font>
      <b/>
      <sz val="12"/>
      <color rgb="FFFFFFFF"/>
      <name val="Trebuchet MS"/>
      <family val="2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2"/>
      <color theme="1"/>
      <name val="Trebuchet MS"/>
      <family val="2"/>
    </font>
    <font>
      <b/>
      <sz val="11"/>
      <color theme="0"/>
      <name val="Trebuchet MS"/>
      <family val="2"/>
    </font>
    <font>
      <b/>
      <sz val="10"/>
      <color rgb="FF006600"/>
      <name val="Trebuchet MS"/>
      <family val="2"/>
    </font>
    <font>
      <b/>
      <sz val="12"/>
      <color rgb="FF006600"/>
      <name val="Trebuchet MS"/>
      <family val="2"/>
    </font>
    <font>
      <b/>
      <sz val="12"/>
      <color rgb="FF000000"/>
      <name val="Trebuchet MS"/>
      <family val="2"/>
    </font>
    <font>
      <b/>
      <sz val="16"/>
      <color rgb="FF006600"/>
      <name val="Trebuchet MS"/>
      <family val="2"/>
    </font>
    <font>
      <b/>
      <sz val="16"/>
      <color theme="1"/>
      <name val="Trebuchet MS"/>
      <family val="2"/>
    </font>
    <font>
      <sz val="12"/>
      <color theme="0"/>
      <name val="Trebuchet MS"/>
      <family val="2"/>
    </font>
    <font>
      <sz val="10"/>
      <color theme="1"/>
      <name val="Trebuchet MS"/>
      <family val="2"/>
    </font>
    <font>
      <sz val="12"/>
      <color rgb="FF000000"/>
      <name val="Trebuchet MS"/>
      <family val="2"/>
    </font>
    <font>
      <b/>
      <sz val="14"/>
      <color rgb="FF006600"/>
      <name val="Trebuchet MS"/>
      <family val="2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b/>
      <sz val="12"/>
      <color theme="1"/>
      <name val="Georgia"/>
      <family val="1"/>
    </font>
    <font>
      <b/>
      <sz val="12"/>
      <color theme="0"/>
      <name val="Georgia"/>
      <family val="1"/>
    </font>
    <font>
      <b/>
      <sz val="12"/>
      <color rgb="FFC00000"/>
      <name val="Trebuchet MS"/>
      <family val="2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rgb="FF000000"/>
      <name val="Trebuchet MS"/>
    </font>
    <font>
      <b/>
      <sz val="12"/>
      <color theme="1"/>
      <name val="Calibri"/>
      <charset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18663B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444">
    <xf numFmtId="0" fontId="0" fillId="0" borderId="0" xfId="0"/>
    <xf numFmtId="0" fontId="2" fillId="3" borderId="24" xfId="0" applyFont="1" applyFill="1" applyBorder="1"/>
    <xf numFmtId="0" fontId="3" fillId="3" borderId="2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43" fontId="3" fillId="3" borderId="25" xfId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3" fontId="5" fillId="0" borderId="0" xfId="1" applyFont="1"/>
    <xf numFmtId="43" fontId="5" fillId="0" borderId="0" xfId="0" applyNumberFormat="1" applyFont="1"/>
    <xf numFmtId="0" fontId="8" fillId="3" borderId="6" xfId="0" applyFont="1" applyFill="1" applyBorder="1"/>
    <xf numFmtId="43" fontId="8" fillId="3" borderId="2" xfId="1" applyFont="1" applyFill="1" applyBorder="1"/>
    <xf numFmtId="0" fontId="6" fillId="0" borderId="0" xfId="0" applyFont="1"/>
    <xf numFmtId="0" fontId="8" fillId="3" borderId="9" xfId="0" applyFont="1" applyFill="1" applyBorder="1"/>
    <xf numFmtId="0" fontId="5" fillId="4" borderId="1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5" fillId="2" borderId="13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2" xfId="0" applyFont="1" applyFill="1" applyBorder="1"/>
    <xf numFmtId="43" fontId="5" fillId="2" borderId="2" xfId="1" applyFont="1" applyFill="1" applyBorder="1"/>
    <xf numFmtId="43" fontId="5" fillId="2" borderId="2" xfId="0" applyNumberFormat="1" applyFont="1" applyFill="1" applyBorder="1"/>
    <xf numFmtId="0" fontId="5" fillId="2" borderId="14" xfId="0" applyFont="1" applyFill="1" applyBorder="1"/>
    <xf numFmtId="0" fontId="5" fillId="2" borderId="20" xfId="0" applyFont="1" applyFill="1" applyBorder="1"/>
    <xf numFmtId="0" fontId="5" fillId="2" borderId="15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13" xfId="0" applyFont="1" applyFill="1" applyBorder="1" applyAlignment="1">
      <alignment wrapText="1"/>
    </xf>
    <xf numFmtId="0" fontId="5" fillId="2" borderId="14" xfId="0" applyFont="1" applyFill="1" applyBorder="1" applyAlignment="1">
      <alignment wrapText="1"/>
    </xf>
    <xf numFmtId="0" fontId="5" fillId="2" borderId="23" xfId="0" applyFont="1" applyFill="1" applyBorder="1"/>
    <xf numFmtId="0" fontId="5" fillId="2" borderId="20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2" xfId="0" applyFont="1" applyFill="1" applyBorder="1"/>
    <xf numFmtId="43" fontId="5" fillId="4" borderId="2" xfId="1" applyFont="1" applyFill="1" applyBorder="1"/>
    <xf numFmtId="43" fontId="5" fillId="4" borderId="2" xfId="0" applyNumberFormat="1" applyFont="1" applyFill="1" applyBorder="1"/>
    <xf numFmtId="0" fontId="5" fillId="4" borderId="15" xfId="0" applyFont="1" applyFill="1" applyBorder="1" applyAlignment="1">
      <alignment wrapText="1"/>
    </xf>
    <xf numFmtId="0" fontId="5" fillId="4" borderId="15" xfId="0" applyFont="1" applyFill="1" applyBorder="1" applyAlignment="1">
      <alignment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wrapText="1"/>
    </xf>
    <xf numFmtId="0" fontId="5" fillId="5" borderId="13" xfId="0" applyFont="1" applyFill="1" applyBorder="1"/>
    <xf numFmtId="0" fontId="5" fillId="5" borderId="2" xfId="0" applyFont="1" applyFill="1" applyBorder="1"/>
    <xf numFmtId="43" fontId="5" fillId="5" borderId="2" xfId="1" applyFont="1" applyFill="1" applyBorder="1"/>
    <xf numFmtId="43" fontId="5" fillId="5" borderId="2" xfId="0" applyNumberFormat="1" applyFont="1" applyFill="1" applyBorder="1"/>
    <xf numFmtId="0" fontId="5" fillId="5" borderId="14" xfId="0" applyFont="1" applyFill="1" applyBorder="1" applyAlignment="1">
      <alignment wrapText="1"/>
    </xf>
    <xf numFmtId="0" fontId="5" fillId="5" borderId="14" xfId="0" applyFont="1" applyFill="1" applyBorder="1"/>
    <xf numFmtId="0" fontId="5" fillId="5" borderId="3" xfId="0" applyFont="1" applyFill="1" applyBorder="1"/>
    <xf numFmtId="0" fontId="6" fillId="5" borderId="14" xfId="0" applyFont="1" applyFill="1" applyBorder="1"/>
    <xf numFmtId="0" fontId="5" fillId="5" borderId="20" xfId="0" applyFont="1" applyFill="1" applyBorder="1"/>
    <xf numFmtId="0" fontId="5" fillId="5" borderId="15" xfId="0" applyFont="1" applyFill="1" applyBorder="1" applyAlignment="1">
      <alignment wrapText="1"/>
    </xf>
    <xf numFmtId="0" fontId="5" fillId="5" borderId="15" xfId="0" applyFont="1" applyFill="1" applyBorder="1"/>
    <xf numFmtId="0" fontId="5" fillId="5" borderId="7" xfId="0" applyFont="1" applyFill="1" applyBorder="1"/>
    <xf numFmtId="0" fontId="5" fillId="2" borderId="3" xfId="0" applyFont="1" applyFill="1" applyBorder="1"/>
    <xf numFmtId="0" fontId="5" fillId="2" borderId="35" xfId="0" applyFont="1" applyFill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vertical="center"/>
    </xf>
    <xf numFmtId="0" fontId="5" fillId="2" borderId="36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  <xf numFmtId="0" fontId="5" fillId="2" borderId="15" xfId="0" applyFont="1" applyFill="1" applyBorder="1"/>
    <xf numFmtId="0" fontId="6" fillId="2" borderId="23" xfId="0" applyFont="1" applyFill="1" applyBorder="1"/>
    <xf numFmtId="0" fontId="5" fillId="2" borderId="9" xfId="0" applyFont="1" applyFill="1" applyBorder="1"/>
    <xf numFmtId="0" fontId="5" fillId="2" borderId="6" xfId="0" applyFont="1" applyFill="1" applyBorder="1"/>
    <xf numFmtId="0" fontId="6" fillId="2" borderId="14" xfId="0" applyFont="1" applyFill="1" applyBorder="1"/>
    <xf numFmtId="0" fontId="6" fillId="2" borderId="1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4" borderId="41" xfId="0" applyFont="1" applyFill="1" applyBorder="1" applyAlignment="1">
      <alignment wrapText="1"/>
    </xf>
    <xf numFmtId="0" fontId="6" fillId="2" borderId="16" xfId="0" applyFont="1" applyFill="1" applyBorder="1" applyAlignment="1">
      <alignment horizontal="left" vertical="center" wrapText="1"/>
    </xf>
    <xf numFmtId="0" fontId="3" fillId="3" borderId="4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 wrapText="1"/>
    </xf>
    <xf numFmtId="43" fontId="3" fillId="3" borderId="42" xfId="1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43" fontId="8" fillId="3" borderId="6" xfId="1" applyFont="1" applyFill="1" applyBorder="1"/>
    <xf numFmtId="0" fontId="5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6" fillId="2" borderId="2" xfId="0" applyFont="1" applyFill="1" applyBorder="1"/>
    <xf numFmtId="0" fontId="5" fillId="2" borderId="44" xfId="0" applyFont="1" applyFill="1" applyBorder="1" applyAlignment="1">
      <alignment horizontal="left" vertical="top" wrapText="1"/>
    </xf>
    <xf numFmtId="0" fontId="6" fillId="2" borderId="44" xfId="0" applyFont="1" applyFill="1" applyBorder="1" applyAlignment="1">
      <alignment vertical="center" wrapText="1"/>
    </xf>
    <xf numFmtId="0" fontId="5" fillId="2" borderId="44" xfId="0" applyFont="1" applyFill="1" applyBorder="1" applyAlignment="1">
      <alignment horizontal="center" vertical="center"/>
    </xf>
    <xf numFmtId="0" fontId="5" fillId="2" borderId="44" xfId="0" applyFont="1" applyFill="1" applyBorder="1"/>
    <xf numFmtId="43" fontId="5" fillId="2" borderId="44" xfId="1" applyFont="1" applyFill="1" applyBorder="1"/>
    <xf numFmtId="43" fontId="5" fillId="2" borderId="44" xfId="0" applyNumberFormat="1" applyFont="1" applyFill="1" applyBorder="1"/>
    <xf numFmtId="0" fontId="5" fillId="2" borderId="46" xfId="0" applyFont="1" applyFill="1" applyBorder="1"/>
    <xf numFmtId="0" fontId="5" fillId="2" borderId="48" xfId="0" applyFont="1" applyFill="1" applyBorder="1"/>
    <xf numFmtId="0" fontId="6" fillId="2" borderId="48" xfId="0" applyFont="1" applyFill="1" applyBorder="1"/>
    <xf numFmtId="0" fontId="5" fillId="2" borderId="48" xfId="0" applyFont="1" applyFill="1" applyBorder="1" applyAlignment="1">
      <alignment horizontal="center" vertical="center"/>
    </xf>
    <xf numFmtId="43" fontId="5" fillId="2" borderId="48" xfId="1" applyFont="1" applyFill="1" applyBorder="1"/>
    <xf numFmtId="43" fontId="5" fillId="2" borderId="48" xfId="0" applyNumberFormat="1" applyFont="1" applyFill="1" applyBorder="1"/>
    <xf numFmtId="0" fontId="6" fillId="4" borderId="41" xfId="0" applyFont="1" applyFill="1" applyBorder="1" applyAlignment="1">
      <alignment vertical="center" wrapText="1"/>
    </xf>
    <xf numFmtId="0" fontId="6" fillId="2" borderId="41" xfId="0" applyFont="1" applyFill="1" applyBorder="1" applyAlignment="1">
      <alignment vertical="center" wrapText="1"/>
    </xf>
    <xf numFmtId="0" fontId="6" fillId="4" borderId="41" xfId="0" applyFont="1" applyFill="1" applyBorder="1" applyAlignment="1">
      <alignment vertical="center"/>
    </xf>
    <xf numFmtId="0" fontId="5" fillId="2" borderId="50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center"/>
    </xf>
    <xf numFmtId="0" fontId="5" fillId="2" borderId="5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vertical="top" wrapText="1"/>
    </xf>
    <xf numFmtId="0" fontId="6" fillId="2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wrapText="1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center" vertical="center"/>
    </xf>
    <xf numFmtId="43" fontId="5" fillId="4" borderId="18" xfId="1" applyFont="1" applyFill="1" applyBorder="1" applyAlignment="1">
      <alignment horizontal="center" vertical="center"/>
    </xf>
    <xf numFmtId="43" fontId="5" fillId="4" borderId="18" xfId="0" applyNumberFormat="1" applyFont="1" applyFill="1" applyBorder="1" applyAlignment="1">
      <alignment horizontal="center" vertical="center"/>
    </xf>
    <xf numFmtId="43" fontId="5" fillId="2" borderId="52" xfId="1" applyFont="1" applyFill="1" applyBorder="1" applyAlignment="1">
      <alignment horizontal="center" vertical="center"/>
    </xf>
    <xf numFmtId="43" fontId="5" fillId="2" borderId="18" xfId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 wrapText="1"/>
    </xf>
    <xf numFmtId="43" fontId="5" fillId="2" borderId="53" xfId="1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43" fontId="5" fillId="2" borderId="45" xfId="1" applyFont="1" applyFill="1" applyBorder="1" applyAlignment="1">
      <alignment horizontal="center" vertical="center"/>
    </xf>
    <xf numFmtId="43" fontId="5" fillId="4" borderId="46" xfId="1" applyFont="1" applyFill="1" applyBorder="1" applyAlignment="1">
      <alignment horizontal="center" vertical="center"/>
    </xf>
    <xf numFmtId="43" fontId="5" fillId="2" borderId="46" xfId="1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43" fontId="5" fillId="4" borderId="46" xfId="0" applyNumberFormat="1" applyFont="1" applyFill="1" applyBorder="1" applyAlignment="1">
      <alignment horizontal="center" vertical="center"/>
    </xf>
    <xf numFmtId="43" fontId="5" fillId="2" borderId="49" xfId="1" applyFont="1" applyFill="1" applyBorder="1" applyAlignment="1">
      <alignment horizontal="center" vertical="center"/>
    </xf>
    <xf numFmtId="0" fontId="8" fillId="3" borderId="47" xfId="0" applyFont="1" applyFill="1" applyBorder="1"/>
    <xf numFmtId="0" fontId="8" fillId="3" borderId="55" xfId="0" applyFont="1" applyFill="1" applyBorder="1"/>
    <xf numFmtId="0" fontId="8" fillId="3" borderId="33" xfId="0" applyFont="1" applyFill="1" applyBorder="1"/>
    <xf numFmtId="43" fontId="8" fillId="3" borderId="33" xfId="1" applyFont="1" applyFill="1" applyBorder="1"/>
    <xf numFmtId="43" fontId="8" fillId="3" borderId="33" xfId="0" applyNumberFormat="1" applyFont="1" applyFill="1" applyBorder="1"/>
    <xf numFmtId="0" fontId="8" fillId="3" borderId="33" xfId="0" applyFont="1" applyFill="1" applyBorder="1" applyAlignment="1">
      <alignment horizontal="center" vertical="center"/>
    </xf>
    <xf numFmtId="43" fontId="8" fillId="3" borderId="33" xfId="1" applyFont="1" applyFill="1" applyBorder="1" applyAlignment="1">
      <alignment horizontal="center" vertical="center"/>
    </xf>
    <xf numFmtId="43" fontId="8" fillId="3" borderId="56" xfId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3" borderId="42" xfId="0" applyFont="1" applyFill="1" applyBorder="1" applyAlignment="1">
      <alignment horizontal="left" vertical="center" wrapText="1"/>
    </xf>
    <xf numFmtId="0" fontId="5" fillId="2" borderId="4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8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5" fillId="5" borderId="46" xfId="0" applyFont="1" applyFill="1" applyBorder="1"/>
    <xf numFmtId="0" fontId="5" fillId="2" borderId="26" xfId="0" applyFont="1" applyFill="1" applyBorder="1"/>
    <xf numFmtId="0" fontId="5" fillId="5" borderId="26" xfId="0" applyFont="1" applyFill="1" applyBorder="1"/>
    <xf numFmtId="0" fontId="8" fillId="3" borderId="51" xfId="0" applyFont="1" applyFill="1" applyBorder="1"/>
    <xf numFmtId="0" fontId="8" fillId="3" borderId="48" xfId="0" applyFont="1" applyFill="1" applyBorder="1"/>
    <xf numFmtId="43" fontId="8" fillId="3" borderId="48" xfId="1" applyFont="1" applyFill="1" applyBorder="1"/>
    <xf numFmtId="43" fontId="8" fillId="3" borderId="48" xfId="0" applyNumberFormat="1" applyFont="1" applyFill="1" applyBorder="1"/>
    <xf numFmtId="0" fontId="12" fillId="0" borderId="0" xfId="0" applyFont="1" applyAlignment="1">
      <alignment horizontal="left" vertical="center"/>
    </xf>
    <xf numFmtId="43" fontId="13" fillId="0" borderId="0" xfId="1" applyFont="1"/>
    <xf numFmtId="0" fontId="13" fillId="0" borderId="0" xfId="0" applyFont="1" applyAlignment="1">
      <alignment horizontal="left"/>
    </xf>
    <xf numFmtId="0" fontId="7" fillId="0" borderId="0" xfId="0" applyFont="1"/>
    <xf numFmtId="0" fontId="14" fillId="3" borderId="2" xfId="0" applyFont="1" applyFill="1" applyBorder="1"/>
    <xf numFmtId="43" fontId="4" fillId="0" borderId="0" xfId="1" applyFont="1"/>
    <xf numFmtId="43" fontId="5" fillId="2" borderId="46" xfId="0" applyNumberFormat="1" applyFont="1" applyFill="1" applyBorder="1"/>
    <xf numFmtId="43" fontId="5" fillId="2" borderId="46" xfId="1" applyFont="1" applyFill="1" applyBorder="1"/>
    <xf numFmtId="43" fontId="5" fillId="4" borderId="46" xfId="1" applyFont="1" applyFill="1" applyBorder="1"/>
    <xf numFmtId="43" fontId="5" fillId="5" borderId="46" xfId="0" applyNumberFormat="1" applyFont="1" applyFill="1" applyBorder="1"/>
    <xf numFmtId="43" fontId="5" fillId="5" borderId="46" xfId="1" applyFont="1" applyFill="1" applyBorder="1"/>
    <xf numFmtId="43" fontId="5" fillId="2" borderId="3" xfId="0" applyNumberFormat="1" applyFont="1" applyFill="1" applyBorder="1"/>
    <xf numFmtId="43" fontId="5" fillId="2" borderId="3" xfId="1" applyFont="1" applyFill="1" applyBorder="1"/>
    <xf numFmtId="43" fontId="5" fillId="2" borderId="26" xfId="0" applyNumberFormat="1" applyFont="1" applyFill="1" applyBorder="1"/>
    <xf numFmtId="43" fontId="5" fillId="5" borderId="3" xfId="0" applyNumberFormat="1" applyFont="1" applyFill="1" applyBorder="1"/>
    <xf numFmtId="43" fontId="5" fillId="5" borderId="3" xfId="1" applyFont="1" applyFill="1" applyBorder="1"/>
    <xf numFmtId="43" fontId="5" fillId="5" borderId="26" xfId="1" applyFont="1" applyFill="1" applyBorder="1"/>
    <xf numFmtId="43" fontId="14" fillId="3" borderId="2" xfId="1" applyFont="1" applyFill="1" applyBorder="1"/>
    <xf numFmtId="43" fontId="4" fillId="0" borderId="0" xfId="0" applyNumberFormat="1" applyFont="1"/>
    <xf numFmtId="0" fontId="5" fillId="2" borderId="11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2" fillId="3" borderId="57" xfId="0" applyFont="1" applyFill="1" applyBorder="1"/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43" fontId="15" fillId="0" borderId="0" xfId="1" applyFont="1"/>
    <xf numFmtId="0" fontId="5" fillId="7" borderId="2" xfId="0" applyFont="1" applyFill="1" applyBorder="1"/>
    <xf numFmtId="0" fontId="3" fillId="8" borderId="0" xfId="0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7" fillId="0" borderId="0" xfId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3" fontId="5" fillId="7" borderId="2" xfId="1" applyFont="1" applyFill="1" applyBorder="1"/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center"/>
    </xf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43" fontId="15" fillId="0" borderId="2" xfId="1" applyFont="1" applyBorder="1"/>
    <xf numFmtId="0" fontId="14" fillId="3" borderId="2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left" wrapText="1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43" fontId="15" fillId="0" borderId="2" xfId="1" applyFont="1" applyBorder="1" applyAlignment="1">
      <alignment vertical="center"/>
    </xf>
    <xf numFmtId="0" fontId="14" fillId="3" borderId="2" xfId="0" applyFont="1" applyFill="1" applyBorder="1" applyAlignment="1">
      <alignment wrapText="1"/>
    </xf>
    <xf numFmtId="43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43" fontId="4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/>
    </xf>
    <xf numFmtId="43" fontId="4" fillId="0" borderId="1" xfId="0" applyNumberFormat="1" applyFont="1" applyBorder="1"/>
    <xf numFmtId="43" fontId="4" fillId="0" borderId="58" xfId="1" applyFont="1" applyBorder="1"/>
    <xf numFmtId="43" fontId="4" fillId="0" borderId="1" xfId="1" applyFont="1" applyBorder="1" applyAlignment="1">
      <alignment horizontal="left" vertical="center"/>
    </xf>
    <xf numFmtId="43" fontId="4" fillId="0" borderId="1" xfId="1" applyFont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164" fontId="5" fillId="2" borderId="2" xfId="1" applyNumberFormat="1" applyFont="1" applyFill="1" applyBorder="1"/>
    <xf numFmtId="164" fontId="5" fillId="2" borderId="3" xfId="0" applyNumberFormat="1" applyFont="1" applyFill="1" applyBorder="1"/>
    <xf numFmtId="164" fontId="5" fillId="2" borderId="2" xfId="1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4" borderId="2" xfId="1" applyNumberFormat="1" applyFont="1" applyFill="1" applyBorder="1"/>
    <xf numFmtId="164" fontId="5" fillId="4" borderId="3" xfId="0" applyNumberFormat="1" applyFont="1" applyFill="1" applyBorder="1"/>
    <xf numFmtId="43" fontId="5" fillId="4" borderId="3" xfId="0" applyNumberFormat="1" applyFont="1" applyFill="1" applyBorder="1"/>
    <xf numFmtId="0" fontId="6" fillId="2" borderId="6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43" fontId="5" fillId="2" borderId="9" xfId="0" applyNumberFormat="1" applyFont="1" applyFill="1" applyBorder="1"/>
    <xf numFmtId="0" fontId="5" fillId="2" borderId="13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/>
    <xf numFmtId="0" fontId="18" fillId="0" borderId="1" xfId="0" applyFont="1" applyBorder="1" applyAlignment="1">
      <alignment horizontal="left" vertical="center"/>
    </xf>
    <xf numFmtId="0" fontId="20" fillId="0" borderId="0" xfId="0" applyFont="1"/>
    <xf numFmtId="0" fontId="21" fillId="3" borderId="4" xfId="0" applyFont="1" applyFill="1" applyBorder="1"/>
    <xf numFmtId="0" fontId="2" fillId="3" borderId="16" xfId="0" applyFont="1" applyFill="1" applyBorder="1" applyAlignment="1">
      <alignment vertical="center"/>
    </xf>
    <xf numFmtId="0" fontId="4" fillId="0" borderId="4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43" fontId="2" fillId="3" borderId="17" xfId="1" applyFont="1" applyFill="1" applyBorder="1" applyAlignment="1">
      <alignment horizontal="left" vertic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left" vertical="center"/>
    </xf>
    <xf numFmtId="43" fontId="7" fillId="0" borderId="0" xfId="0" applyNumberFormat="1" applyFont="1"/>
    <xf numFmtId="0" fontId="2" fillId="3" borderId="17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40" xfId="0" applyFont="1" applyFill="1" applyBorder="1" applyAlignment="1">
      <alignment horizontal="left" vertical="center"/>
    </xf>
    <xf numFmtId="0" fontId="2" fillId="3" borderId="41" xfId="0" applyFont="1" applyFill="1" applyBorder="1" applyAlignment="1">
      <alignment horizontal="left" vertical="center"/>
    </xf>
    <xf numFmtId="43" fontId="2" fillId="3" borderId="0" xfId="1" applyFont="1" applyFill="1"/>
    <xf numFmtId="9" fontId="7" fillId="0" borderId="0" xfId="2" applyFont="1"/>
    <xf numFmtId="3" fontId="5" fillId="0" borderId="0" xfId="0" applyNumberFormat="1" applyFont="1"/>
    <xf numFmtId="0" fontId="7" fillId="2" borderId="30" xfId="0" applyFont="1" applyFill="1" applyBorder="1" applyAlignment="1">
      <alignment vertical="center"/>
    </xf>
    <xf numFmtId="0" fontId="7" fillId="2" borderId="31" xfId="0" applyFont="1" applyFill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6" fillId="5" borderId="59" xfId="0" applyFont="1" applyFill="1" applyBorder="1"/>
    <xf numFmtId="0" fontId="5" fillId="5" borderId="59" xfId="0" applyFont="1" applyFill="1" applyBorder="1"/>
    <xf numFmtId="43" fontId="5" fillId="5" borderId="59" xfId="1" applyFont="1" applyFill="1" applyBorder="1"/>
    <xf numFmtId="43" fontId="5" fillId="5" borderId="59" xfId="0" applyNumberFormat="1" applyFont="1" applyFill="1" applyBorder="1"/>
    <xf numFmtId="0" fontId="5" fillId="5" borderId="20" xfId="0" applyFont="1" applyFill="1" applyBorder="1" applyAlignment="1">
      <alignment wrapText="1"/>
    </xf>
    <xf numFmtId="0" fontId="5" fillId="5" borderId="4" xfId="0" applyFont="1" applyFill="1" applyBorder="1"/>
    <xf numFmtId="43" fontId="5" fillId="5" borderId="4" xfId="1" applyFont="1" applyFill="1" applyBorder="1"/>
    <xf numFmtId="43" fontId="5" fillId="5" borderId="4" xfId="0" applyNumberFormat="1" applyFont="1" applyFill="1" applyBorder="1"/>
    <xf numFmtId="0" fontId="5" fillId="5" borderId="60" xfId="0" applyFont="1" applyFill="1" applyBorder="1"/>
    <xf numFmtId="0" fontId="5" fillId="5" borderId="23" xfId="0" applyFont="1" applyFill="1" applyBorder="1" applyAlignment="1">
      <alignment vertical="center"/>
    </xf>
    <xf numFmtId="0" fontId="5" fillId="5" borderId="23" xfId="0" applyFont="1" applyFill="1" applyBorder="1" applyAlignment="1">
      <alignment wrapText="1"/>
    </xf>
    <xf numFmtId="0" fontId="5" fillId="5" borderId="2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43" fontId="5" fillId="5" borderId="6" xfId="1" applyFont="1" applyFill="1" applyBorder="1" applyAlignment="1">
      <alignment vertical="center"/>
    </xf>
    <xf numFmtId="43" fontId="5" fillId="5" borderId="6" xfId="0" applyNumberFormat="1" applyFont="1" applyFill="1" applyBorder="1" applyAlignment="1">
      <alignment vertical="center"/>
    </xf>
    <xf numFmtId="43" fontId="5" fillId="5" borderId="9" xfId="0" applyNumberFormat="1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43" fontId="5" fillId="5" borderId="9" xfId="1" applyFont="1" applyFill="1" applyBorder="1" applyAlignment="1">
      <alignment vertical="center"/>
    </xf>
    <xf numFmtId="43" fontId="5" fillId="5" borderId="27" xfId="1" applyFont="1" applyFill="1" applyBorder="1" applyAlignment="1">
      <alignment vertical="center"/>
    </xf>
    <xf numFmtId="4" fontId="5" fillId="0" borderId="0" xfId="0" applyNumberFormat="1" applyFont="1"/>
    <xf numFmtId="43" fontId="5" fillId="2" borderId="59" xfId="1" applyFont="1" applyFill="1" applyBorder="1"/>
    <xf numFmtId="43" fontId="5" fillId="2" borderId="59" xfId="0" applyNumberFormat="1" applyFont="1" applyFill="1" applyBorder="1"/>
    <xf numFmtId="0" fontId="5" fillId="2" borderId="59" xfId="0" applyFont="1" applyFill="1" applyBorder="1" applyAlignment="1">
      <alignment vertical="center" wrapText="1"/>
    </xf>
    <xf numFmtId="0" fontId="5" fillId="2" borderId="59" xfId="0" applyFont="1" applyFill="1" applyBorder="1" applyAlignment="1">
      <alignment wrapText="1"/>
    </xf>
    <xf numFmtId="43" fontId="5" fillId="2" borderId="59" xfId="0" applyNumberFormat="1" applyFont="1" applyFill="1" applyBorder="1" applyAlignment="1">
      <alignment horizontal="left" wrapText="1"/>
    </xf>
    <xf numFmtId="43" fontId="5" fillId="2" borderId="59" xfId="1" applyFont="1" applyFill="1" applyBorder="1" applyAlignment="1">
      <alignment horizontal="left" wrapText="1"/>
    </xf>
    <xf numFmtId="0" fontId="5" fillId="2" borderId="18" xfId="0" applyFont="1" applyFill="1" applyBorder="1"/>
    <xf numFmtId="43" fontId="5" fillId="2" borderId="6" xfId="1" applyFont="1" applyFill="1" applyBorder="1"/>
    <xf numFmtId="43" fontId="5" fillId="2" borderId="6" xfId="0" applyNumberFormat="1" applyFont="1" applyFill="1" applyBorder="1"/>
    <xf numFmtId="43" fontId="5" fillId="2" borderId="27" xfId="1" applyFont="1" applyFill="1" applyBorder="1"/>
    <xf numFmtId="0" fontId="5" fillId="2" borderId="37" xfId="0" applyFont="1" applyFill="1" applyBorder="1"/>
    <xf numFmtId="43" fontId="4" fillId="2" borderId="3" xfId="0" applyNumberFormat="1" applyFont="1" applyFill="1" applyBorder="1"/>
    <xf numFmtId="0" fontId="5" fillId="2" borderId="37" xfId="0" applyFont="1" applyFill="1" applyBorder="1" applyAlignment="1">
      <alignment wrapText="1"/>
    </xf>
    <xf numFmtId="0" fontId="5" fillId="2" borderId="14" xfId="0" applyFont="1" applyFill="1" applyBorder="1" applyAlignment="1">
      <alignment vertical="center"/>
    </xf>
    <xf numFmtId="0" fontId="5" fillId="2" borderId="38" xfId="0" applyFont="1" applyFill="1" applyBorder="1" applyAlignment="1">
      <alignment wrapText="1"/>
    </xf>
    <xf numFmtId="9" fontId="22" fillId="0" borderId="0" xfId="2" applyFont="1" applyAlignment="1">
      <alignment horizontal="center" vertical="center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center"/>
    </xf>
    <xf numFmtId="43" fontId="23" fillId="2" borderId="2" xfId="0" applyNumberFormat="1" applyFont="1" applyFill="1" applyBorder="1"/>
    <xf numFmtId="0" fontId="23" fillId="2" borderId="12" xfId="0" applyFont="1" applyFill="1" applyBorder="1" applyAlignment="1">
      <alignment wrapText="1"/>
    </xf>
    <xf numFmtId="0" fontId="23" fillId="2" borderId="3" xfId="0" applyFont="1" applyFill="1" applyBorder="1" applyAlignment="1">
      <alignment wrapText="1"/>
    </xf>
    <xf numFmtId="0" fontId="23" fillId="2" borderId="2" xfId="0" applyFont="1" applyFill="1" applyBorder="1"/>
    <xf numFmtId="43" fontId="23" fillId="2" borderId="2" xfId="1" applyFont="1" applyFill="1" applyBorder="1"/>
    <xf numFmtId="0" fontId="23" fillId="2" borderId="46" xfId="0" applyFont="1" applyFill="1" applyBorder="1"/>
    <xf numFmtId="0" fontId="23" fillId="0" borderId="0" xfId="0" applyFont="1"/>
    <xf numFmtId="0" fontId="23" fillId="4" borderId="13" xfId="0" applyFont="1" applyFill="1" applyBorder="1" applyAlignment="1">
      <alignment vertical="center" wrapText="1"/>
    </xf>
    <xf numFmtId="0" fontId="23" fillId="4" borderId="3" xfId="0" applyFont="1" applyFill="1" applyBorder="1" applyAlignment="1">
      <alignment wrapText="1"/>
    </xf>
    <xf numFmtId="0" fontId="23" fillId="4" borderId="2" xfId="0" applyFont="1" applyFill="1" applyBorder="1"/>
    <xf numFmtId="43" fontId="23" fillId="4" borderId="2" xfId="1" applyFont="1" applyFill="1" applyBorder="1"/>
    <xf numFmtId="43" fontId="23" fillId="4" borderId="2" xfId="0" applyNumberFormat="1" applyFont="1" applyFill="1" applyBorder="1"/>
    <xf numFmtId="43" fontId="23" fillId="4" borderId="46" xfId="1" applyFont="1" applyFill="1" applyBorder="1"/>
    <xf numFmtId="0" fontId="23" fillId="2" borderId="14" xfId="0" applyFont="1" applyFill="1" applyBorder="1" applyAlignment="1">
      <alignment wrapText="1"/>
    </xf>
    <xf numFmtId="0" fontId="23" fillId="2" borderId="14" xfId="0" applyFont="1" applyFill="1" applyBorder="1" applyAlignment="1">
      <alignment horizontal="left" vertical="center" wrapText="1"/>
    </xf>
    <xf numFmtId="43" fontId="23" fillId="2" borderId="46" xfId="1" applyFont="1" applyFill="1" applyBorder="1"/>
    <xf numFmtId="0" fontId="24" fillId="5" borderId="13" xfId="0" applyFont="1" applyFill="1" applyBorder="1" applyAlignment="1">
      <alignment wrapText="1"/>
    </xf>
    <xf numFmtId="0" fontId="23" fillId="5" borderId="13" xfId="0" applyFont="1" applyFill="1" applyBorder="1"/>
    <xf numFmtId="0" fontId="23" fillId="5" borderId="3" xfId="0" applyFont="1" applyFill="1" applyBorder="1" applyAlignment="1">
      <alignment wrapText="1"/>
    </xf>
    <xf numFmtId="0" fontId="23" fillId="5" borderId="2" xfId="0" applyFont="1" applyFill="1" applyBorder="1"/>
    <xf numFmtId="43" fontId="23" fillId="5" borderId="2" xfId="1" applyFont="1" applyFill="1" applyBorder="1"/>
    <xf numFmtId="43" fontId="23" fillId="5" borderId="2" xfId="0" applyNumberFormat="1" applyFont="1" applyFill="1" applyBorder="1"/>
    <xf numFmtId="43" fontId="23" fillId="5" borderId="46" xfId="1" applyFont="1" applyFill="1" applyBorder="1"/>
    <xf numFmtId="0" fontId="24" fillId="2" borderId="10" xfId="0" applyFont="1" applyFill="1" applyBorder="1" applyAlignment="1">
      <alignment vertical="center"/>
    </xf>
    <xf numFmtId="0" fontId="23" fillId="2" borderId="22" xfId="0" applyFont="1" applyFill="1" applyBorder="1" applyAlignment="1">
      <alignment wrapText="1"/>
    </xf>
    <xf numFmtId="0" fontId="23" fillId="2" borderId="13" xfId="0" applyFont="1" applyFill="1" applyBorder="1"/>
    <xf numFmtId="0" fontId="23" fillId="2" borderId="10" xfId="0" applyFont="1" applyFill="1" applyBorder="1" applyAlignment="1">
      <alignment vertical="center"/>
    </xf>
    <xf numFmtId="43" fontId="23" fillId="2" borderId="3" xfId="0" applyNumberFormat="1" applyFont="1" applyFill="1" applyBorder="1"/>
    <xf numFmtId="0" fontId="23" fillId="2" borderId="3" xfId="0" applyFont="1" applyFill="1" applyBorder="1"/>
    <xf numFmtId="43" fontId="23" fillId="2" borderId="3" xfId="1" applyFont="1" applyFill="1" applyBorder="1"/>
    <xf numFmtId="43" fontId="23" fillId="2" borderId="26" xfId="1" applyFont="1" applyFill="1" applyBorder="1"/>
    <xf numFmtId="0" fontId="24" fillId="2" borderId="11" xfId="0" applyFont="1" applyFill="1" applyBorder="1" applyAlignment="1">
      <alignment vertical="center"/>
    </xf>
    <xf numFmtId="0" fontId="23" fillId="2" borderId="35" xfId="0" applyFont="1" applyFill="1" applyBorder="1" applyAlignment="1">
      <alignment wrapText="1"/>
    </xf>
    <xf numFmtId="0" fontId="23" fillId="2" borderId="0" xfId="0" applyFont="1" applyFill="1" applyAlignment="1">
      <alignment vertical="center"/>
    </xf>
    <xf numFmtId="43" fontId="23" fillId="2" borderId="4" xfId="1" applyFont="1" applyFill="1" applyBorder="1"/>
    <xf numFmtId="43" fontId="23" fillId="2" borderId="4" xfId="0" applyNumberFormat="1" applyFont="1" applyFill="1" applyBorder="1"/>
    <xf numFmtId="43" fontId="23" fillId="2" borderId="7" xfId="0" applyNumberFormat="1" applyFont="1" applyFill="1" applyBorder="1"/>
    <xf numFmtId="0" fontId="23" fillId="2" borderId="7" xfId="0" applyFont="1" applyFill="1" applyBorder="1" applyAlignment="1">
      <alignment horizontal="left" wrapText="1"/>
    </xf>
    <xf numFmtId="0" fontId="23" fillId="2" borderId="7" xfId="0" applyFont="1" applyFill="1" applyBorder="1" applyAlignment="1">
      <alignment wrapText="1"/>
    </xf>
    <xf numFmtId="43" fontId="23" fillId="2" borderId="7" xfId="0" applyNumberFormat="1" applyFont="1" applyFill="1" applyBorder="1" applyAlignment="1">
      <alignment horizontal="left" wrapText="1"/>
    </xf>
    <xf numFmtId="43" fontId="23" fillId="2" borderId="7" xfId="1" applyFont="1" applyFill="1" applyBorder="1" applyAlignment="1">
      <alignment horizontal="left" wrapText="1"/>
    </xf>
    <xf numFmtId="43" fontId="23" fillId="2" borderId="19" xfId="1" applyFont="1" applyFill="1" applyBorder="1" applyAlignment="1">
      <alignment horizontal="left" wrapText="1"/>
    </xf>
    <xf numFmtId="0" fontId="23" fillId="2" borderId="14" xfId="0" applyFont="1" applyFill="1" applyBorder="1" applyAlignment="1">
      <alignment horizontal="left" wrapText="1"/>
    </xf>
    <xf numFmtId="0" fontId="23" fillId="2" borderId="23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wrapText="1"/>
    </xf>
    <xf numFmtId="0" fontId="23" fillId="5" borderId="23" xfId="0" applyFont="1" applyFill="1" applyBorder="1"/>
    <xf numFmtId="0" fontId="22" fillId="0" borderId="0" xfId="0" applyFont="1"/>
    <xf numFmtId="0" fontId="5" fillId="2" borderId="61" xfId="0" applyFont="1" applyFill="1" applyBorder="1" applyAlignment="1">
      <alignment wrapText="1"/>
    </xf>
    <xf numFmtId="0" fontId="6" fillId="2" borderId="40" xfId="0" applyFont="1" applyFill="1" applyBorder="1" applyAlignment="1">
      <alignment vertical="center"/>
    </xf>
    <xf numFmtId="0" fontId="23" fillId="2" borderId="10" xfId="0" applyFont="1" applyFill="1" applyBorder="1" applyAlignment="1">
      <alignment wrapText="1"/>
    </xf>
    <xf numFmtId="0" fontId="23" fillId="2" borderId="11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43" fontId="5" fillId="2" borderId="46" xfId="0" applyNumberFormat="1" applyFont="1" applyFill="1" applyBorder="1" applyAlignment="1">
      <alignment wrapText="1"/>
    </xf>
    <xf numFmtId="0" fontId="5" fillId="2" borderId="46" xfId="0" applyFont="1" applyFill="1" applyBorder="1" applyAlignment="1">
      <alignment wrapText="1"/>
    </xf>
    <xf numFmtId="43" fontId="23" fillId="2" borderId="46" xfId="1" applyFont="1" applyFill="1" applyBorder="1" applyAlignment="1">
      <alignment wrapText="1"/>
    </xf>
    <xf numFmtId="43" fontId="5" fillId="2" borderId="46" xfId="1" applyFont="1" applyFill="1" applyBorder="1" applyAlignment="1">
      <alignment wrapText="1"/>
    </xf>
    <xf numFmtId="0" fontId="23" fillId="2" borderId="46" xfId="0" applyFont="1" applyFill="1" applyBorder="1" applyAlignment="1">
      <alignment wrapText="1"/>
    </xf>
    <xf numFmtId="43" fontId="23" fillId="4" borderId="46" xfId="1" applyFont="1" applyFill="1" applyBorder="1" applyAlignment="1">
      <alignment wrapText="1"/>
    </xf>
    <xf numFmtId="43" fontId="5" fillId="4" borderId="46" xfId="1" applyFont="1" applyFill="1" applyBorder="1" applyAlignment="1">
      <alignment wrapText="1"/>
    </xf>
    <xf numFmtId="43" fontId="23" fillId="5" borderId="46" xfId="1" applyFont="1" applyFill="1" applyBorder="1" applyAlignment="1">
      <alignment wrapText="1"/>
    </xf>
    <xf numFmtId="43" fontId="5" fillId="5" borderId="46" xfId="0" applyNumberFormat="1" applyFont="1" applyFill="1" applyBorder="1" applyAlignment="1">
      <alignment wrapText="1"/>
    </xf>
    <xf numFmtId="43" fontId="5" fillId="5" borderId="46" xfId="1" applyFont="1" applyFill="1" applyBorder="1" applyAlignment="1">
      <alignment wrapText="1"/>
    </xf>
    <xf numFmtId="0" fontId="5" fillId="5" borderId="46" xfId="0" applyFont="1" applyFill="1" applyBorder="1" applyAlignment="1">
      <alignment wrapText="1"/>
    </xf>
    <xf numFmtId="0" fontId="5" fillId="5" borderId="60" xfId="0" applyFont="1" applyFill="1" applyBorder="1" applyAlignment="1">
      <alignment wrapText="1"/>
    </xf>
    <xf numFmtId="0" fontId="5" fillId="5" borderId="59" xfId="0" applyFont="1" applyFill="1" applyBorder="1" applyAlignment="1">
      <alignment wrapText="1"/>
    </xf>
    <xf numFmtId="43" fontId="5" fillId="5" borderId="27" xfId="1" applyFont="1" applyFill="1" applyBorder="1" applyAlignment="1">
      <alignment vertical="center" wrapText="1"/>
    </xf>
    <xf numFmtId="0" fontId="5" fillId="5" borderId="26" xfId="0" applyFont="1" applyFill="1" applyBorder="1" applyAlignment="1">
      <alignment wrapText="1"/>
    </xf>
    <xf numFmtId="43" fontId="23" fillId="2" borderId="26" xfId="1" applyFont="1" applyFill="1" applyBorder="1" applyAlignment="1">
      <alignment wrapText="1"/>
    </xf>
    <xf numFmtId="43" fontId="5" fillId="2" borderId="27" xfId="1" applyFont="1" applyFill="1" applyBorder="1" applyAlignment="1">
      <alignment wrapText="1"/>
    </xf>
    <xf numFmtId="0" fontId="5" fillId="2" borderId="26" xfId="0" applyFont="1" applyFill="1" applyBorder="1" applyAlignment="1">
      <alignment wrapText="1"/>
    </xf>
    <xf numFmtId="43" fontId="5" fillId="2" borderId="26" xfId="0" applyNumberFormat="1" applyFont="1" applyFill="1" applyBorder="1" applyAlignment="1">
      <alignment wrapText="1"/>
    </xf>
    <xf numFmtId="43" fontId="5" fillId="5" borderId="26" xfId="1" applyFont="1" applyFill="1" applyBorder="1" applyAlignment="1">
      <alignment wrapText="1"/>
    </xf>
    <xf numFmtId="43" fontId="8" fillId="3" borderId="48" xfId="0" applyNumberFormat="1" applyFont="1" applyFill="1" applyBorder="1" applyAlignment="1">
      <alignment wrapText="1"/>
    </xf>
    <xf numFmtId="0" fontId="23" fillId="2" borderId="46" xfId="1" applyNumberFormat="1" applyFont="1" applyFill="1" applyBorder="1"/>
    <xf numFmtId="0" fontId="5" fillId="2" borderId="46" xfId="1" applyNumberFormat="1" applyFont="1" applyFill="1" applyBorder="1"/>
    <xf numFmtId="0" fontId="23" fillId="4" borderId="46" xfId="1" applyNumberFormat="1" applyFont="1" applyFill="1" applyBorder="1"/>
    <xf numFmtId="0" fontId="5" fillId="4" borderId="46" xfId="1" applyNumberFormat="1" applyFont="1" applyFill="1" applyBorder="1"/>
    <xf numFmtId="0" fontId="23" fillId="5" borderId="46" xfId="1" applyNumberFormat="1" applyFont="1" applyFill="1" applyBorder="1"/>
    <xf numFmtId="0" fontId="5" fillId="5" borderId="46" xfId="1" applyNumberFormat="1" applyFont="1" applyFill="1" applyBorder="1"/>
    <xf numFmtId="0" fontId="5" fillId="5" borderId="27" xfId="1" applyNumberFormat="1" applyFont="1" applyFill="1" applyBorder="1" applyAlignment="1">
      <alignment vertical="center"/>
    </xf>
    <xf numFmtId="0" fontId="23" fillId="2" borderId="26" xfId="1" applyNumberFormat="1" applyFont="1" applyFill="1" applyBorder="1"/>
    <xf numFmtId="0" fontId="5" fillId="5" borderId="26" xfId="1" applyNumberFormat="1" applyFont="1" applyFill="1" applyBorder="1"/>
    <xf numFmtId="0" fontId="23" fillId="5" borderId="46" xfId="0" applyFont="1" applyFill="1" applyBorder="1"/>
    <xf numFmtId="0" fontId="27" fillId="8" borderId="0" xfId="0" applyFont="1" applyFill="1"/>
    <xf numFmtId="0" fontId="0" fillId="8" borderId="0" xfId="0" applyFill="1"/>
    <xf numFmtId="0" fontId="7" fillId="0" borderId="0" xfId="0" applyFont="1" applyAlignment="1">
      <alignment horizontal="left" vertical="center"/>
    </xf>
    <xf numFmtId="0" fontId="4" fillId="0" borderId="0" xfId="0" applyFont="1"/>
    <xf numFmtId="0" fontId="6" fillId="4" borderId="10" xfId="0" applyFont="1" applyFill="1" applyBorder="1" applyAlignment="1">
      <alignment horizontal="left" vertical="center"/>
    </xf>
    <xf numFmtId="0" fontId="0" fillId="0" borderId="11" xfId="0" applyBorder="1"/>
    <xf numFmtId="0" fontId="6" fillId="4" borderId="1" xfId="0" applyFont="1" applyFill="1" applyBorder="1" applyAlignment="1">
      <alignment horizontal="left" vertical="center" wrapText="1"/>
    </xf>
    <xf numFmtId="0" fontId="0" fillId="0" borderId="12" xfId="0" applyBorder="1"/>
    <xf numFmtId="0" fontId="5" fillId="2" borderId="1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/>
    </xf>
    <xf numFmtId="0" fontId="23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25" fillId="2" borderId="14" xfId="0" applyFont="1" applyFill="1" applyBorder="1" applyAlignment="1">
      <alignment horizontal="center" vertical="center"/>
    </xf>
    <xf numFmtId="0" fontId="0" fillId="0" borderId="23" xfId="0" applyBorder="1"/>
    <xf numFmtId="0" fontId="6" fillId="5" borderId="4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40" xfId="0" applyBorder="1"/>
    <xf numFmtId="0" fontId="6" fillId="4" borderId="41" xfId="0" applyFont="1" applyFill="1" applyBorder="1" applyAlignment="1">
      <alignment horizontal="left" vertical="center" wrapText="1"/>
    </xf>
    <xf numFmtId="0" fontId="4" fillId="6" borderId="54" xfId="0" applyFont="1" applyFill="1" applyBorder="1" applyAlignment="1">
      <alignment horizontal="center" vertical="center"/>
    </xf>
    <xf numFmtId="0" fontId="0" fillId="0" borderId="54" xfId="0" applyBorder="1"/>
    <xf numFmtId="0" fontId="6" fillId="4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0" fillId="0" borderId="34" xfId="0" applyBorder="1"/>
    <xf numFmtId="0" fontId="5" fillId="2" borderId="14" xfId="0" applyFont="1" applyFill="1" applyBorder="1" applyAlignment="1">
      <alignment horizontal="left" vertical="top" wrapText="1"/>
    </xf>
    <xf numFmtId="0" fontId="6" fillId="2" borderId="4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0" fillId="0" borderId="6" xfId="0" applyBorder="1"/>
    <xf numFmtId="0" fontId="6" fillId="2" borderId="2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6" fillId="4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0" fillId="0" borderId="5" xfId="0" applyBorder="1"/>
    <xf numFmtId="0" fontId="11" fillId="0" borderId="0" xfId="0" applyFont="1" applyAlignment="1">
      <alignment horizontal="left" vertical="center"/>
    </xf>
    <xf numFmtId="0" fontId="7" fillId="0" borderId="0" xfId="0" applyFont="1"/>
    <xf numFmtId="43" fontId="11" fillId="0" borderId="0" xfId="1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331F-89E6-4302-AB14-06FA813D6039}">
  <dimension ref="A2:F20"/>
  <sheetViews>
    <sheetView topLeftCell="A4" workbookViewId="0">
      <selection activeCell="N11" sqref="N11"/>
    </sheetView>
  </sheetViews>
  <sheetFormatPr defaultRowHeight="15" x14ac:dyDescent="0.25"/>
  <cols>
    <col min="1" max="16384" width="9.140625" style="395"/>
  </cols>
  <sheetData>
    <row r="2" spans="1:6" x14ac:dyDescent="0.25">
      <c r="A2" s="394" t="s">
        <v>672</v>
      </c>
      <c r="B2" s="394"/>
      <c r="C2" s="394"/>
      <c r="D2" s="394"/>
      <c r="E2" s="394"/>
      <c r="F2" s="394"/>
    </row>
    <row r="3" spans="1:6" x14ac:dyDescent="0.25">
      <c r="A3" s="394" t="s">
        <v>654</v>
      </c>
    </row>
    <row r="5" spans="1:6" x14ac:dyDescent="0.25">
      <c r="A5" s="394" t="s">
        <v>623</v>
      </c>
    </row>
    <row r="6" spans="1:6" x14ac:dyDescent="0.25">
      <c r="A6" s="395">
        <v>1</v>
      </c>
      <c r="B6" s="395" t="s">
        <v>52</v>
      </c>
    </row>
    <row r="7" spans="1:6" x14ac:dyDescent="0.25">
      <c r="A7" s="395">
        <v>2</v>
      </c>
      <c r="B7" s="395" t="s">
        <v>292</v>
      </c>
    </row>
    <row r="8" spans="1:6" x14ac:dyDescent="0.25">
      <c r="A8" s="395">
        <v>3</v>
      </c>
      <c r="B8" s="395" t="s">
        <v>12</v>
      </c>
    </row>
    <row r="9" spans="1:6" x14ac:dyDescent="0.25">
      <c r="A9" s="395">
        <v>4</v>
      </c>
      <c r="B9" s="395" t="s">
        <v>639</v>
      </c>
    </row>
    <row r="10" spans="1:6" x14ac:dyDescent="0.25">
      <c r="A10" s="394" t="s">
        <v>625</v>
      </c>
    </row>
    <row r="14" spans="1:6" x14ac:dyDescent="0.25">
      <c r="A14" s="394" t="s">
        <v>624</v>
      </c>
    </row>
    <row r="15" spans="1:6" x14ac:dyDescent="0.25">
      <c r="A15" s="395">
        <v>1</v>
      </c>
      <c r="B15" s="395" t="s">
        <v>58</v>
      </c>
    </row>
    <row r="16" spans="1:6" x14ac:dyDescent="0.25">
      <c r="A16" s="395">
        <f>A15+1</f>
        <v>2</v>
      </c>
      <c r="B16" s="395" t="s">
        <v>626</v>
      </c>
    </row>
    <row r="17" spans="1:2" x14ac:dyDescent="0.25">
      <c r="A17" s="395">
        <f t="shared" ref="A17:A20" si="0">A16+1</f>
        <v>3</v>
      </c>
      <c r="B17" s="395" t="s">
        <v>627</v>
      </c>
    </row>
    <row r="18" spans="1:2" x14ac:dyDescent="0.25">
      <c r="A18" s="395">
        <f t="shared" si="0"/>
        <v>4</v>
      </c>
      <c r="B18" s="395" t="s">
        <v>628</v>
      </c>
    </row>
    <row r="19" spans="1:2" x14ac:dyDescent="0.25">
      <c r="A19" s="395">
        <f t="shared" si="0"/>
        <v>5</v>
      </c>
      <c r="B19" s="395" t="s">
        <v>183</v>
      </c>
    </row>
    <row r="20" spans="1:2" x14ac:dyDescent="0.25">
      <c r="A20" s="395">
        <f t="shared" si="0"/>
        <v>6</v>
      </c>
      <c r="B20" s="395" t="s">
        <v>151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zoomScale="96" zoomScaleNormal="96" workbookViewId="0">
      <selection sqref="A1:XFD1048576"/>
    </sheetView>
  </sheetViews>
  <sheetFormatPr defaultColWidth="8.85546875" defaultRowHeight="18" x14ac:dyDescent="0.35"/>
  <cols>
    <col min="1" max="1" width="40.28515625" style="5" customWidth="1"/>
    <col min="2" max="2" width="47.42578125" style="5" customWidth="1"/>
    <col min="3" max="3" width="20.28515625" style="167" customWidth="1"/>
    <col min="4" max="4" width="22.28515625" style="5" customWidth="1"/>
    <col min="5" max="5" width="21.140625" style="5" customWidth="1"/>
    <col min="6" max="6" width="21.7109375" style="5" customWidth="1"/>
    <col min="7" max="7" width="21.5703125" style="167" customWidth="1"/>
    <col min="8" max="8" width="17.5703125" style="165" customWidth="1"/>
    <col min="9" max="9" width="17.85546875" style="5" customWidth="1"/>
    <col min="10" max="10" width="14.5703125" style="5" customWidth="1"/>
    <col min="11" max="12" width="8.85546875" style="5" customWidth="1"/>
    <col min="13" max="16384" width="8.85546875" style="5"/>
  </cols>
  <sheetData>
    <row r="1" spans="1:10" x14ac:dyDescent="0.35">
      <c r="A1" s="189"/>
      <c r="B1" s="189"/>
      <c r="C1" s="190"/>
    </row>
    <row r="2" spans="1:10" ht="22.15" customHeight="1" x14ac:dyDescent="0.35">
      <c r="A2" s="162" t="s">
        <v>0</v>
      </c>
      <c r="B2" s="163"/>
    </row>
    <row r="3" spans="1:10" ht="22.9" customHeight="1" thickBot="1" x14ac:dyDescent="0.4">
      <c r="A3" s="164" t="s">
        <v>1</v>
      </c>
      <c r="B3" s="163"/>
    </row>
    <row r="4" spans="1:10" s="165" customFormat="1" ht="33" customHeight="1" thickBot="1" x14ac:dyDescent="0.4">
      <c r="A4" s="250" t="s">
        <v>2</v>
      </c>
      <c r="B4" s="226" t="s">
        <v>3</v>
      </c>
      <c r="C4" s="216" t="s">
        <v>4</v>
      </c>
      <c r="D4" s="217" t="s">
        <v>5</v>
      </c>
      <c r="E4" s="217" t="s">
        <v>6</v>
      </c>
      <c r="F4" s="217" t="s">
        <v>7</v>
      </c>
      <c r="G4" s="218" t="s">
        <v>8</v>
      </c>
    </row>
    <row r="5" spans="1:10" ht="34.9" customHeight="1" thickBot="1" x14ac:dyDescent="0.4">
      <c r="A5" s="396" t="s">
        <v>9</v>
      </c>
      <c r="B5" s="252" t="s">
        <v>10</v>
      </c>
      <c r="C5" s="220">
        <f>'Comic Relief'!L7+'Comic Relief'!L8+'Comic Relief'!L9+'Comic Relief'!L10+'Comic Relief'!L18+'Comic Relief'!L34+'Comic Relief'!L35+'Comic Relief'!L36+'Comic Relief'!L37</f>
        <v>15708940</v>
      </c>
      <c r="D5" s="220">
        <f>'Comic Relief'!M7+'Comic Relief'!M8+'Comic Relief'!M9+'Comic Relief'!M10+'Comic Relief'!M18+'Comic Relief'!M34+'Comic Relief'!M35+'Comic Relief'!M36+'Comic Relief'!M37</f>
        <v>345286.66666666669</v>
      </c>
      <c r="E5" s="220">
        <f>'Comic Relief'!N7+'Comic Relief'!N8+'Comic Relief'!N9+'Comic Relief'!N10+'Comic Relief'!N18+'Comic Relief'!N34+'Comic Relief'!N35+'Comic Relief'!N36+'Comic Relief'!N37</f>
        <v>5581286.666666667</v>
      </c>
      <c r="F5" s="220">
        <f>'Comic Relief'!O7+'Comic Relief'!O8+'Comic Relief'!O9+'Comic Relief'!O10+'Comic Relief'!O18+'Comic Relief'!O34+'Comic Relief'!O35+'Comic Relief'!O36+'Comic Relief'!O37</f>
        <v>9644686.666666666</v>
      </c>
      <c r="G5" s="220">
        <f>SUM(C5:F5)</f>
        <v>31280200</v>
      </c>
    </row>
    <row r="6" spans="1:10" ht="18.600000000000001" customHeight="1" thickBot="1" x14ac:dyDescent="0.4">
      <c r="A6" s="397"/>
      <c r="B6" s="219" t="s">
        <v>11</v>
      </c>
      <c r="C6" s="224">
        <f>SUM('Comic Relief'!L7:L37)-C5</f>
        <v>2856777.5</v>
      </c>
      <c r="D6" s="220">
        <f>SUM('Comic Relief'!M7:M37)-D5</f>
        <v>5816661.666666667</v>
      </c>
      <c r="E6" s="220">
        <f>SUM('Comic Relief'!N7:N37)-E5</f>
        <v>5079062.006666665</v>
      </c>
      <c r="F6" s="220">
        <f>SUM('Comic Relief'!O7:O37)-F5</f>
        <v>2585820.916666666</v>
      </c>
      <c r="G6" s="220">
        <f>SUM(C6:F6)</f>
        <v>16338322.089999998</v>
      </c>
      <c r="I6" s="180"/>
    </row>
    <row r="7" spans="1:10" ht="19.899999999999999" customHeight="1" thickBot="1" x14ac:dyDescent="0.4">
      <c r="A7" s="397"/>
      <c r="B7" s="219" t="s">
        <v>12</v>
      </c>
      <c r="C7" s="224">
        <f>SUM('Comic Relief'!L38:L52)</f>
        <v>633944.995</v>
      </c>
      <c r="D7" s="220">
        <f>SUM('Comic Relief'!M38:M52)</f>
        <v>759194.995</v>
      </c>
      <c r="E7" s="220">
        <f>SUM('Comic Relief'!N38:N52)</f>
        <v>607260</v>
      </c>
      <c r="F7" s="220">
        <f>SUM('Comic Relief'!O38:O52)</f>
        <v>482520</v>
      </c>
      <c r="G7" s="220">
        <f>SUM(C7:F7)</f>
        <v>2482919.9900000002</v>
      </c>
      <c r="H7" s="263"/>
    </row>
    <row r="8" spans="1:10" ht="16.899999999999999" customHeight="1" thickBot="1" x14ac:dyDescent="0.4">
      <c r="A8" s="397"/>
      <c r="B8" s="219" t="s">
        <v>13</v>
      </c>
      <c r="C8" s="224">
        <f>SUM('Comic Relief'!L54:L65)</f>
        <v>2531305.2999999998</v>
      </c>
      <c r="D8" s="224">
        <f>SUM('Comic Relief'!M54:M65)</f>
        <v>2767419.1666666665</v>
      </c>
      <c r="E8" s="224">
        <f>SUM('Comic Relief'!N54:N65)</f>
        <v>2637419.1666666665</v>
      </c>
      <c r="F8" s="224">
        <f>SUM('Comic Relief'!O54:O65)</f>
        <v>2624919.1666666665</v>
      </c>
      <c r="G8" s="220">
        <f>SUM(C8:F8)</f>
        <v>10561062.799999999</v>
      </c>
      <c r="H8" s="306"/>
      <c r="I8" s="180"/>
    </row>
    <row r="9" spans="1:10" s="196" customFormat="1" ht="16.899999999999999" customHeight="1" thickBot="1" x14ac:dyDescent="0.4">
      <c r="A9" s="254" t="s">
        <v>14</v>
      </c>
      <c r="B9" s="255"/>
      <c r="C9" s="256">
        <f>SUM(C6:C8)</f>
        <v>6022027.7949999999</v>
      </c>
      <c r="D9" s="216">
        <f>SUM(D6:D8)</f>
        <v>9343275.8283333331</v>
      </c>
      <c r="E9" s="216">
        <f>SUM(E6:E8)</f>
        <v>8323741.1733333319</v>
      </c>
      <c r="F9" s="216">
        <f>SUM(F6:F8)</f>
        <v>5693260.0833333321</v>
      </c>
      <c r="G9" s="216">
        <f>SUM(G5:G8)</f>
        <v>60662504.879999995</v>
      </c>
      <c r="I9" s="257"/>
      <c r="J9" s="165"/>
    </row>
    <row r="10" spans="1:10" s="167" customFormat="1" ht="32.450000000000003" customHeight="1" thickBot="1" x14ac:dyDescent="0.4">
      <c r="A10" s="396" t="s">
        <v>15</v>
      </c>
      <c r="B10" s="252" t="s">
        <v>16</v>
      </c>
      <c r="C10" s="224">
        <f>MOTTIII!L12+MOTTIII!L14+MOTTIII!L15+MOTTIII!L16+MOTTIII!L17+MOTTIII!L18+MOTTIII!L19+MOTTIII!L29</f>
        <v>390059.66666666663</v>
      </c>
      <c r="D10" s="224">
        <f>MOTTIII!M12+MOTTIII!M14+MOTTIII!M15+MOTTIII!M16+MOTTIII!M17+MOTTIII!M18+MOTTIII!M19+MOTTIII!M29</f>
        <v>46987.666666666657</v>
      </c>
      <c r="E10" s="224">
        <f>MOTTIII!N12+MOTTIII!N14+MOTTIII!N15+MOTTIII!N16+MOTTIII!N17+MOTTIII!N18+MOTTIII!N19+MOTTIII!N29</f>
        <v>167505.66666666666</v>
      </c>
      <c r="F10" s="224">
        <f>MOTTIII!O12+MOTTIII!O14+MOTTIII!O15+MOTTIII!O16+MOTTIII!O17+MOTTIII!O18+MOTTIII!O19+MOTTIII!O29</f>
        <v>42500</v>
      </c>
      <c r="G10" s="220">
        <f>SUM(C10:F10)</f>
        <v>647052.99999999988</v>
      </c>
      <c r="H10" s="196"/>
      <c r="I10" s="180"/>
      <c r="J10" s="5"/>
    </row>
    <row r="11" spans="1:10" ht="33" customHeight="1" thickBot="1" x14ac:dyDescent="0.4">
      <c r="A11" s="397"/>
      <c r="B11" s="253" t="s">
        <v>17</v>
      </c>
      <c r="C11" s="224">
        <f>SUM(MOTTIII!L7:L30)-C10</f>
        <v>613530.33333333337</v>
      </c>
      <c r="D11" s="224">
        <f>SUM(MOTTIII!M7:M30)-D10</f>
        <v>340591.33333333337</v>
      </c>
      <c r="E11" s="224">
        <f>SUM(MOTTIII!N7:N30)-E10</f>
        <v>24509.333333333314</v>
      </c>
      <c r="F11" s="220"/>
      <c r="G11" s="220">
        <f>SUM(C11:F11)</f>
        <v>978631</v>
      </c>
      <c r="H11" s="257"/>
    </row>
    <row r="12" spans="1:10" ht="26.45" customHeight="1" thickBot="1" x14ac:dyDescent="0.4">
      <c r="A12" s="397"/>
      <c r="B12" s="219" t="s">
        <v>12</v>
      </c>
      <c r="C12" s="224">
        <f>MOTTIII!L33+MOTTIII!L35+MOTTIII!L36</f>
        <v>248260</v>
      </c>
      <c r="D12" s="220">
        <f>MOTTIII!M31+MOTTIII!M32+MOTTIII!M34</f>
        <v>234920</v>
      </c>
      <c r="E12" s="220">
        <f>SUM(MOTTIII!N31:N36)</f>
        <v>15000</v>
      </c>
      <c r="F12" s="220"/>
      <c r="G12" s="220">
        <f>SUM(C12:F12)</f>
        <v>498180</v>
      </c>
      <c r="H12" s="257"/>
      <c r="I12" s="180"/>
    </row>
    <row r="13" spans="1:10" ht="16.899999999999999" customHeight="1" thickBot="1" x14ac:dyDescent="0.4">
      <c r="A13" s="397"/>
      <c r="B13" s="219" t="s">
        <v>13</v>
      </c>
      <c r="C13" s="224">
        <f>MOTTIII!L37+MOTTIII!L38</f>
        <v>474498</v>
      </c>
      <c r="D13" s="220">
        <f>MOTTIII!M37+MOTTIII!M38</f>
        <v>474498</v>
      </c>
      <c r="E13" s="220">
        <f>MOTTIII!N37+MOTTIII!N38</f>
        <v>474498</v>
      </c>
      <c r="F13" s="220"/>
      <c r="G13" s="220">
        <f>SUM(C13:F13)</f>
        <v>1423494</v>
      </c>
      <c r="H13" s="257"/>
    </row>
    <row r="14" spans="1:10" s="165" customFormat="1" ht="24.6" customHeight="1" thickBot="1" x14ac:dyDescent="0.4">
      <c r="A14" s="258" t="s">
        <v>18</v>
      </c>
      <c r="B14" s="259"/>
      <c r="C14" s="256">
        <f>SUM(C11:C13)</f>
        <v>1336288.3333333335</v>
      </c>
      <c r="D14" s="216">
        <f>SUM(D11:D13)</f>
        <v>1050009.3333333335</v>
      </c>
      <c r="E14" s="216">
        <f>SUM(E11:E13)</f>
        <v>514007.33333333331</v>
      </c>
      <c r="F14" s="216">
        <f>SUM(F11:F13)</f>
        <v>0</v>
      </c>
      <c r="G14" s="216">
        <f>SUM(G10:G13)</f>
        <v>3547358</v>
      </c>
      <c r="H14" s="257"/>
    </row>
    <row r="15" spans="1:10" ht="31.15" customHeight="1" thickBot="1" x14ac:dyDescent="0.4">
      <c r="A15" s="396" t="s">
        <v>19</v>
      </c>
      <c r="B15" s="252" t="s">
        <v>16</v>
      </c>
      <c r="C15" s="224">
        <f>KaluluII!L7+KaluluII!L8+KaluluII!L18+KaluluII!L19+KaluluII!L24</f>
        <v>211289.99</v>
      </c>
      <c r="D15" s="224">
        <f>KaluluII!M7+KaluluII!M8+KaluluII!M18+KaluluII!M19+KaluluII!M24</f>
        <v>236270</v>
      </c>
      <c r="E15" s="224">
        <f>KaluluII!N7+KaluluII!N8+KaluluII!N18+KaluluII!N19+KaluluII!N24</f>
        <v>149570</v>
      </c>
      <c r="F15" s="224">
        <f>KaluluII!O7+KaluluII!O8+KaluluII!O18+KaluluII!O19+KaluluII!O24</f>
        <v>19520</v>
      </c>
      <c r="G15" s="221">
        <f>SUM(C15:F15)</f>
        <v>616649.99</v>
      </c>
      <c r="H15" s="257"/>
    </row>
    <row r="16" spans="1:10" ht="33" customHeight="1" thickBot="1" x14ac:dyDescent="0.4">
      <c r="A16" s="397"/>
      <c r="B16" s="252" t="s">
        <v>17</v>
      </c>
      <c r="C16" s="225">
        <f>+KaluluII!L9+KaluluII!L10+KaluluII!L11+KaluluII!L12+KaluluII!L14+KaluluII!L15+KaluluII!L17+KaluluII!L20+KaluluII!L23</f>
        <v>152830</v>
      </c>
      <c r="D16" s="225">
        <f>+KaluluII!M9+KaluluII!M10+KaluluII!M11+KaluluII!M12+KaluluII!M14+KaluluII!M15+KaluluII!M17+KaluluII!M20+KaluluII!M23</f>
        <v>101470</v>
      </c>
      <c r="E16" s="225">
        <f>+KaluluII!N9+KaluluII!N10+KaluluII!N11+KaluluII!N12+KaluluII!N14+KaluluII!N15+KaluluII!N17+KaluluII!N20+KaluluII!N23</f>
        <v>67670</v>
      </c>
      <c r="F16" s="225">
        <f>+KaluluII!O9+KaluluII!O10+KaluluII!O11+KaluluII!O12+KaluluII!O14+KaluluII!O15+KaluluII!O17+KaluluII!O20+KaluluII!O23</f>
        <v>48610</v>
      </c>
      <c r="G16" s="221">
        <f>SUM(C16:F16)</f>
        <v>370580</v>
      </c>
    </row>
    <row r="17" spans="1:8" ht="31.15" customHeight="1" thickBot="1" x14ac:dyDescent="0.4">
      <c r="A17" s="397"/>
      <c r="B17" s="219" t="s">
        <v>12</v>
      </c>
      <c r="C17" s="225">
        <f>KaluluII!L22+KaluluII!L21+KaluluII!L16+KaluluII!L13</f>
        <v>13650</v>
      </c>
      <c r="D17" s="225">
        <f>KaluluII!M22+KaluluII!M21+KaluluII!M16+KaluluII!M13</f>
        <v>51250</v>
      </c>
      <c r="E17" s="225">
        <f>KaluluII!N22+KaluluII!N21+KaluluII!N16+KaluluII!N13</f>
        <v>51250</v>
      </c>
      <c r="F17" s="225">
        <f>KaluluII!O22+KaluluII!O21+KaluluII!O16+KaluluII!O13</f>
        <v>13650</v>
      </c>
      <c r="G17" s="221">
        <f>SUM(C17:F17)</f>
        <v>129800</v>
      </c>
    </row>
    <row r="18" spans="1:8" ht="16.899999999999999" customHeight="1" thickBot="1" x14ac:dyDescent="0.4">
      <c r="A18" s="397"/>
      <c r="B18" s="219" t="s">
        <v>13</v>
      </c>
      <c r="C18" s="225">
        <f>KaluluII!L26+KaluluII!L27</f>
        <v>505943.01929999999</v>
      </c>
      <c r="D18" s="225">
        <f>KaluluII!M26+KaluluII!M27</f>
        <v>544388.59</v>
      </c>
      <c r="E18" s="225">
        <f>KaluluII!N26+KaluluII!N27</f>
        <v>535953.59</v>
      </c>
      <c r="F18" s="225">
        <f>KaluluII!O26+KaluluII!O27</f>
        <v>522883.88999999996</v>
      </c>
      <c r="G18" s="221">
        <f>SUM(C18:F18)</f>
        <v>2109169.0893000001</v>
      </c>
      <c r="H18" s="196"/>
    </row>
    <row r="19" spans="1:8" s="165" customFormat="1" ht="20.45" customHeight="1" thickBot="1" x14ac:dyDescent="0.4">
      <c r="A19" s="260" t="s">
        <v>20</v>
      </c>
      <c r="B19" s="259"/>
      <c r="C19" s="256">
        <f>SUM(C16:C18)</f>
        <v>672423.01930000004</v>
      </c>
      <c r="D19" s="217">
        <f>SUM(D16:D18)</f>
        <v>697108.59</v>
      </c>
      <c r="E19" s="217">
        <f>SUM(E16:E18)</f>
        <v>654873.59</v>
      </c>
      <c r="F19" s="217">
        <f>SUM(F16:F18)</f>
        <v>585143.8899999999</v>
      </c>
      <c r="G19" s="216">
        <f>SUM(G15:G18)</f>
        <v>3226199.0793000003</v>
      </c>
      <c r="H19" s="257"/>
    </row>
    <row r="20" spans="1:8" ht="16.899999999999999" customHeight="1" thickBot="1" x14ac:dyDescent="0.4">
      <c r="A20" s="251" t="s">
        <v>21</v>
      </c>
      <c r="B20" s="219" t="s">
        <v>13</v>
      </c>
      <c r="C20" s="225">
        <f>ZGF!M11</f>
        <v>289000</v>
      </c>
      <c r="D20" s="222">
        <f>ZGF!N11</f>
        <v>328500</v>
      </c>
      <c r="E20" s="222">
        <f>ZGF!O11</f>
        <v>243500</v>
      </c>
      <c r="F20" s="222">
        <f>ZGF!P11</f>
        <v>243500</v>
      </c>
      <c r="G20" s="223">
        <f>SUM(C20:F20)</f>
        <v>1104500</v>
      </c>
    </row>
    <row r="21" spans="1:8" s="165" customFormat="1" ht="18" customHeight="1" thickBot="1" x14ac:dyDescent="0.4">
      <c r="A21" s="261" t="s">
        <v>22</v>
      </c>
      <c r="B21" s="259"/>
      <c r="C21" s="256">
        <f>SUM(C20)</f>
        <v>289000</v>
      </c>
      <c r="D21" s="256">
        <f>SUM(D20)</f>
        <v>328500</v>
      </c>
      <c r="E21" s="256">
        <f>SUM(E20)</f>
        <v>243500</v>
      </c>
      <c r="F21" s="256">
        <f>SUM(F20)</f>
        <v>243500</v>
      </c>
      <c r="G21" s="216">
        <f>SUM(G20)</f>
        <v>1104500</v>
      </c>
    </row>
    <row r="22" spans="1:8" s="165" customFormat="1" x14ac:dyDescent="0.35">
      <c r="A22" s="165" t="s">
        <v>23</v>
      </c>
      <c r="C22" s="196"/>
      <c r="G22" s="262">
        <f>G9+G14+G19+G21</f>
        <v>68540561.959299996</v>
      </c>
    </row>
    <row r="23" spans="1:8" x14ac:dyDescent="0.35">
      <c r="A23" s="165" t="s">
        <v>24</v>
      </c>
    </row>
    <row r="24" spans="1:8" x14ac:dyDescent="0.35">
      <c r="A24" s="165" t="s">
        <v>25</v>
      </c>
    </row>
    <row r="25" spans="1:8" x14ac:dyDescent="0.35">
      <c r="A25" s="165" t="s">
        <v>26</v>
      </c>
    </row>
    <row r="26" spans="1:8" x14ac:dyDescent="0.35">
      <c r="A26" s="165" t="s">
        <v>27</v>
      </c>
    </row>
    <row r="27" spans="1:8" x14ac:dyDescent="0.35">
      <c r="A27" s="355"/>
    </row>
  </sheetData>
  <mergeCells count="3">
    <mergeCell ref="A15:A18"/>
    <mergeCell ref="A10:A13"/>
    <mergeCell ref="A5:A8"/>
  </mergeCells>
  <pageMargins left="0.75" right="0.75" top="1" bottom="1" header="0.5" footer="0.5"/>
  <pageSetup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72"/>
  <sheetViews>
    <sheetView showGridLines="0" tabSelected="1" topLeftCell="A17" zoomScale="80" zoomScaleNormal="80" workbookViewId="0">
      <selection activeCell="D17" sqref="D1:D1048576"/>
    </sheetView>
  </sheetViews>
  <sheetFormatPr defaultColWidth="8.85546875" defaultRowHeight="16.5" x14ac:dyDescent="0.3"/>
  <cols>
    <col min="1" max="1" width="30" style="6" customWidth="1"/>
    <col min="2" max="2" width="37.42578125" style="6" customWidth="1"/>
    <col min="3" max="3" width="58.7109375" style="6" customWidth="1"/>
    <col min="4" max="4" width="51.140625" style="6" hidden="1" customWidth="1"/>
    <col min="5" max="5" width="38.42578125" style="6" customWidth="1"/>
    <col min="6" max="6" width="23.5703125" style="6" customWidth="1"/>
    <col min="7" max="7" width="10.7109375" style="6" hidden="1" customWidth="1"/>
    <col min="8" max="8" width="15.7109375" style="7" hidden="1" customWidth="1"/>
    <col min="9" max="9" width="22.28515625" style="6" hidden="1" customWidth="1"/>
    <col min="10" max="10" width="21.5703125" style="6" hidden="1" customWidth="1"/>
    <col min="11" max="11" width="27" style="6" hidden="1" customWidth="1"/>
    <col min="12" max="12" width="18.7109375" style="6" hidden="1" customWidth="1"/>
    <col min="13" max="13" width="17.28515625" style="6" hidden="1" customWidth="1"/>
    <col min="14" max="14" width="13.5703125" style="6" customWidth="1"/>
    <col min="15" max="15" width="18.7109375" style="6" customWidth="1"/>
    <col min="16" max="16" width="13.140625" style="7" hidden="1" customWidth="1"/>
    <col min="17" max="17" width="44.5703125" style="6" hidden="1" customWidth="1"/>
    <col min="18" max="18" width="27.140625" style="6" hidden="1" customWidth="1"/>
    <col min="19" max="19" width="75.85546875" style="6" hidden="1" customWidth="1"/>
    <col min="20" max="20" width="18.85546875" style="6" hidden="1" customWidth="1"/>
    <col min="21" max="21" width="255.7109375" style="360" hidden="1" customWidth="1"/>
    <col min="22" max="22" width="11.5703125" style="6" bestFit="1" customWidth="1"/>
    <col min="23" max="23" width="8.85546875" style="6" customWidth="1"/>
    <col min="24" max="16384" width="8.85546875" style="6"/>
  </cols>
  <sheetData>
    <row r="2" spans="1:22" s="5" customFormat="1" ht="18" customHeight="1" x14ac:dyDescent="0.35">
      <c r="A2" s="195" t="s">
        <v>0</v>
      </c>
      <c r="H2" s="167"/>
      <c r="P2" s="167"/>
      <c r="U2" s="361"/>
    </row>
    <row r="3" spans="1:22" s="165" customFormat="1" ht="16.149999999999999" customHeight="1" x14ac:dyDescent="0.35">
      <c r="A3" s="165" t="s">
        <v>28</v>
      </c>
      <c r="H3" s="196"/>
      <c r="P3" s="196"/>
      <c r="U3" s="362"/>
    </row>
    <row r="4" spans="1:22" s="165" customFormat="1" ht="16.149999999999999" customHeight="1" x14ac:dyDescent="0.35">
      <c r="A4" s="165" t="s">
        <v>29</v>
      </c>
      <c r="H4" s="196"/>
      <c r="P4" s="196"/>
      <c r="U4" s="362"/>
    </row>
    <row r="5" spans="1:22" s="165" customFormat="1" ht="16.899999999999999" customHeight="1" thickBot="1" x14ac:dyDescent="0.4">
      <c r="A5" s="165" t="s">
        <v>30</v>
      </c>
      <c r="H5" s="196"/>
      <c r="P5" s="196"/>
      <c r="U5" s="362"/>
    </row>
    <row r="6" spans="1:22" s="5" customFormat="1" ht="28.15" customHeight="1" thickBot="1" x14ac:dyDescent="0.4">
      <c r="A6" s="1" t="s">
        <v>31</v>
      </c>
      <c r="B6" s="2" t="s">
        <v>32</v>
      </c>
      <c r="C6" s="3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4" t="s">
        <v>38</v>
      </c>
      <c r="I6" s="4" t="s">
        <v>39</v>
      </c>
      <c r="J6" s="4" t="s">
        <v>40</v>
      </c>
      <c r="K6" s="73" t="s">
        <v>41</v>
      </c>
      <c r="L6" s="73" t="s">
        <v>42</v>
      </c>
      <c r="M6" s="73" t="s">
        <v>43</v>
      </c>
      <c r="N6" s="73" t="s">
        <v>44</v>
      </c>
      <c r="O6" s="75" t="s">
        <v>45</v>
      </c>
      <c r="P6" s="75" t="s">
        <v>46</v>
      </c>
      <c r="Q6" s="75" t="s">
        <v>47</v>
      </c>
      <c r="R6" s="75" t="s">
        <v>48</v>
      </c>
      <c r="S6" s="75" t="s">
        <v>49</v>
      </c>
      <c r="T6" s="75" t="s">
        <v>2</v>
      </c>
      <c r="U6" s="75" t="s">
        <v>50</v>
      </c>
      <c r="V6" s="75" t="s">
        <v>51</v>
      </c>
    </row>
    <row r="7" spans="1:22" ht="43.15" customHeight="1" thickBot="1" x14ac:dyDescent="0.35">
      <c r="A7" s="404" t="s">
        <v>52</v>
      </c>
      <c r="B7" s="405" t="s">
        <v>53</v>
      </c>
      <c r="C7" s="16" t="s">
        <v>54</v>
      </c>
      <c r="D7" s="16" t="s">
        <v>55</v>
      </c>
      <c r="E7" s="402" t="s">
        <v>56</v>
      </c>
      <c r="F7" s="17" t="s">
        <v>57</v>
      </c>
      <c r="G7" s="18">
        <v>11</v>
      </c>
      <c r="H7" s="19">
        <v>800000</v>
      </c>
      <c r="I7" s="20">
        <f>G7*H7</f>
        <v>8800000</v>
      </c>
      <c r="J7" s="20">
        <f t="shared" ref="J7:J19" si="0">I7/30</f>
        <v>293333.33333333331</v>
      </c>
      <c r="K7" s="18" t="s">
        <v>7</v>
      </c>
      <c r="L7" s="20"/>
      <c r="M7" s="18"/>
      <c r="N7" s="18"/>
      <c r="O7" s="168">
        <f>I7</f>
        <v>8800000</v>
      </c>
      <c r="P7" s="96">
        <v>5100</v>
      </c>
      <c r="Q7" s="168" t="s">
        <v>58</v>
      </c>
      <c r="R7" s="168" t="s">
        <v>59</v>
      </c>
      <c r="S7" s="168" t="s">
        <v>60</v>
      </c>
      <c r="T7" s="168" t="s">
        <v>9</v>
      </c>
      <c r="U7" s="363" t="s">
        <v>61</v>
      </c>
      <c r="V7" s="168" t="s">
        <v>629</v>
      </c>
    </row>
    <row r="8" spans="1:22" ht="28.9" customHeight="1" x14ac:dyDescent="0.3">
      <c r="A8" s="399"/>
      <c r="B8" s="399"/>
      <c r="C8" s="21" t="s">
        <v>62</v>
      </c>
      <c r="D8" s="21" t="s">
        <v>63</v>
      </c>
      <c r="E8" s="399"/>
      <c r="F8" s="17" t="s">
        <v>57</v>
      </c>
      <c r="G8" s="18">
        <v>7</v>
      </c>
      <c r="H8" s="19">
        <v>750000</v>
      </c>
      <c r="I8" s="20">
        <f>G8*H8</f>
        <v>5250000</v>
      </c>
      <c r="J8" s="20">
        <f t="shared" si="0"/>
        <v>175000</v>
      </c>
      <c r="K8" s="18" t="s">
        <v>6</v>
      </c>
      <c r="L8" s="18"/>
      <c r="M8" s="18"/>
      <c r="N8" s="20">
        <f>I8</f>
        <v>5250000</v>
      </c>
      <c r="O8" s="96"/>
      <c r="P8" s="96">
        <v>5100</v>
      </c>
      <c r="Q8" s="96" t="s">
        <v>58</v>
      </c>
      <c r="R8" s="96" t="s">
        <v>59</v>
      </c>
      <c r="S8" s="96" t="s">
        <v>60</v>
      </c>
      <c r="T8" s="96" t="s">
        <v>9</v>
      </c>
      <c r="U8" s="364" t="s">
        <v>64</v>
      </c>
      <c r="V8" s="96" t="s">
        <v>629</v>
      </c>
    </row>
    <row r="9" spans="1:22" ht="28.9" customHeight="1" thickBot="1" x14ac:dyDescent="0.35">
      <c r="A9" s="399"/>
      <c r="B9" s="399"/>
      <c r="C9" s="21" t="s">
        <v>65</v>
      </c>
      <c r="D9" s="22" t="s">
        <v>66</v>
      </c>
      <c r="E9" s="399"/>
      <c r="F9" s="17" t="s">
        <v>57</v>
      </c>
      <c r="G9" s="18">
        <v>20</v>
      </c>
      <c r="H9" s="19">
        <v>750000</v>
      </c>
      <c r="I9" s="20">
        <f>G9*H9</f>
        <v>15000000</v>
      </c>
      <c r="J9" s="20">
        <f t="shared" si="0"/>
        <v>500000</v>
      </c>
      <c r="K9" s="18" t="s">
        <v>4</v>
      </c>
      <c r="L9" s="20">
        <f>I9</f>
        <v>15000000</v>
      </c>
      <c r="M9" s="18"/>
      <c r="N9" s="18"/>
      <c r="O9" s="168"/>
      <c r="P9" s="96">
        <v>5100</v>
      </c>
      <c r="Q9" s="168" t="s">
        <v>58</v>
      </c>
      <c r="R9" s="168" t="s">
        <v>59</v>
      </c>
      <c r="S9" s="168" t="s">
        <v>60</v>
      </c>
      <c r="T9" s="168" t="s">
        <v>9</v>
      </c>
      <c r="U9" s="363" t="s">
        <v>67</v>
      </c>
      <c r="V9" s="168" t="s">
        <v>629</v>
      </c>
    </row>
    <row r="10" spans="1:22" ht="28.9" customHeight="1" thickBot="1" x14ac:dyDescent="0.35">
      <c r="A10" s="401"/>
      <c r="B10" s="401"/>
      <c r="C10" s="23" t="s">
        <v>68</v>
      </c>
      <c r="D10" s="24" t="s">
        <v>69</v>
      </c>
      <c r="E10" s="401"/>
      <c r="F10" s="17" t="s">
        <v>57</v>
      </c>
      <c r="G10" s="18">
        <v>1</v>
      </c>
      <c r="H10" s="19">
        <v>708940</v>
      </c>
      <c r="I10" s="20">
        <f>G10*H10</f>
        <v>708940</v>
      </c>
      <c r="J10" s="20">
        <f t="shared" si="0"/>
        <v>23631.333333333332</v>
      </c>
      <c r="K10" s="18" t="s">
        <v>4</v>
      </c>
      <c r="L10" s="20">
        <f>I10</f>
        <v>708940</v>
      </c>
      <c r="M10" s="18"/>
      <c r="N10" s="18"/>
      <c r="O10" s="96"/>
      <c r="P10" s="96">
        <v>5100</v>
      </c>
      <c r="Q10" s="168" t="s">
        <v>58</v>
      </c>
      <c r="R10" s="96" t="s">
        <v>59</v>
      </c>
      <c r="S10" s="168" t="s">
        <v>60</v>
      </c>
      <c r="T10" s="96" t="s">
        <v>9</v>
      </c>
      <c r="U10" s="364" t="s">
        <v>70</v>
      </c>
      <c r="V10" s="96" t="s">
        <v>629</v>
      </c>
    </row>
    <row r="11" spans="1:22" ht="42.75" customHeight="1" thickBot="1" x14ac:dyDescent="0.35">
      <c r="A11" s="404" t="s">
        <v>52</v>
      </c>
      <c r="B11" s="405" t="s">
        <v>53</v>
      </c>
      <c r="C11" s="241" t="s">
        <v>72</v>
      </c>
      <c r="D11" s="16" t="s">
        <v>73</v>
      </c>
      <c r="E11" s="408" t="s">
        <v>74</v>
      </c>
      <c r="F11" s="17" t="s">
        <v>57</v>
      </c>
      <c r="G11" s="18">
        <v>3</v>
      </c>
      <c r="H11" s="19">
        <v>171686.66666666669</v>
      </c>
      <c r="I11" s="20">
        <f>G11*H11</f>
        <v>515060.00000000006</v>
      </c>
      <c r="J11" s="20">
        <f t="shared" si="0"/>
        <v>17168.666666666668</v>
      </c>
      <c r="K11" s="18" t="s">
        <v>4</v>
      </c>
      <c r="L11" s="20">
        <f>I11</f>
        <v>515060.00000000006</v>
      </c>
      <c r="M11" s="18"/>
      <c r="N11" s="18"/>
      <c r="O11" s="96"/>
      <c r="P11" s="96">
        <v>5400</v>
      </c>
      <c r="Q11" s="168" t="s">
        <v>58</v>
      </c>
      <c r="R11" s="324" t="s">
        <v>83</v>
      </c>
      <c r="S11" s="324" t="s">
        <v>84</v>
      </c>
      <c r="T11" s="96" t="s">
        <v>9</v>
      </c>
      <c r="U11" s="364" t="s">
        <v>78</v>
      </c>
      <c r="V11" s="96" t="s">
        <v>629</v>
      </c>
    </row>
    <row r="12" spans="1:22" s="315" customFormat="1" ht="72.599999999999994" customHeight="1" x14ac:dyDescent="0.3">
      <c r="A12" s="399"/>
      <c r="B12" s="399"/>
      <c r="C12" s="322" t="s">
        <v>79</v>
      </c>
      <c r="D12" s="323" t="s">
        <v>80</v>
      </c>
      <c r="E12" s="399"/>
      <c r="F12" s="311" t="s">
        <v>57</v>
      </c>
      <c r="G12" s="312">
        <v>4</v>
      </c>
      <c r="H12" s="313">
        <v>1211250</v>
      </c>
      <c r="I12" s="309">
        <f>(G12*H12)</f>
        <v>4845000</v>
      </c>
      <c r="J12" s="309">
        <f t="shared" si="0"/>
        <v>161500</v>
      </c>
      <c r="K12" s="312" t="s">
        <v>81</v>
      </c>
      <c r="L12" s="309">
        <v>807500</v>
      </c>
      <c r="M12" s="313">
        <v>1816875</v>
      </c>
      <c r="N12" s="313">
        <v>1816875</v>
      </c>
      <c r="O12" s="324">
        <v>403750</v>
      </c>
      <c r="P12" s="384">
        <v>5400</v>
      </c>
      <c r="Q12" s="324" t="s">
        <v>82</v>
      </c>
      <c r="R12" s="324" t="s">
        <v>83</v>
      </c>
      <c r="S12" s="324" t="s">
        <v>84</v>
      </c>
      <c r="T12" s="324" t="s">
        <v>9</v>
      </c>
      <c r="U12" s="365" t="s">
        <v>85</v>
      </c>
      <c r="V12" s="96" t="s">
        <v>610</v>
      </c>
    </row>
    <row r="13" spans="1:22" s="315" customFormat="1" ht="43.5" customHeight="1" x14ac:dyDescent="0.3">
      <c r="A13" s="399"/>
      <c r="B13" s="399"/>
      <c r="C13" s="351" t="s">
        <v>86</v>
      </c>
      <c r="D13" s="352" t="s">
        <v>87</v>
      </c>
      <c r="E13" s="399"/>
      <c r="F13" s="311" t="s">
        <v>57</v>
      </c>
      <c r="G13" s="312">
        <v>4</v>
      </c>
      <c r="H13" s="313">
        <v>514123.96</v>
      </c>
      <c r="I13" s="309">
        <f>(G13*H13)</f>
        <v>2056495.84</v>
      </c>
      <c r="J13" s="309">
        <f t="shared" si="0"/>
        <v>68549.861333333334</v>
      </c>
      <c r="K13" s="312" t="s">
        <v>81</v>
      </c>
      <c r="L13" s="309">
        <v>373908.33333333331</v>
      </c>
      <c r="M13" s="313">
        <f>560862.5+186954.17</f>
        <v>747816.67</v>
      </c>
      <c r="N13" s="313">
        <f>560862.5+186954.17</f>
        <v>747816.67</v>
      </c>
      <c r="O13" s="324">
        <v>186954.16666666669</v>
      </c>
      <c r="P13" s="384">
        <v>5400</v>
      </c>
      <c r="Q13" s="324" t="s">
        <v>82</v>
      </c>
      <c r="R13" s="324" t="s">
        <v>83</v>
      </c>
      <c r="S13" s="324" t="s">
        <v>84</v>
      </c>
      <c r="T13" s="324" t="s">
        <v>9</v>
      </c>
      <c r="U13" s="365" t="s">
        <v>88</v>
      </c>
      <c r="V13" s="96" t="s">
        <v>610</v>
      </c>
    </row>
    <row r="14" spans="1:22" ht="43.15" customHeight="1" x14ac:dyDescent="0.3">
      <c r="A14" s="399"/>
      <c r="B14" s="399"/>
      <c r="C14" s="28" t="s">
        <v>89</v>
      </c>
      <c r="D14" s="28" t="s">
        <v>90</v>
      </c>
      <c r="E14" s="399"/>
      <c r="F14" s="17" t="s">
        <v>57</v>
      </c>
      <c r="G14" s="18">
        <v>4</v>
      </c>
      <c r="H14" s="19">
        <v>1000</v>
      </c>
      <c r="I14" s="20">
        <f>G14*H14</f>
        <v>4000</v>
      </c>
      <c r="J14" s="20">
        <f t="shared" si="0"/>
        <v>133.33333333333334</v>
      </c>
      <c r="K14" s="18" t="s">
        <v>81</v>
      </c>
      <c r="L14" s="20">
        <f>I14/4</f>
        <v>1000</v>
      </c>
      <c r="M14" s="19">
        <v>1000</v>
      </c>
      <c r="N14" s="19">
        <v>1000</v>
      </c>
      <c r="O14" s="169">
        <v>1000</v>
      </c>
      <c r="P14" s="385">
        <v>5400</v>
      </c>
      <c r="Q14" s="169" t="s">
        <v>82</v>
      </c>
      <c r="R14" s="324" t="s">
        <v>83</v>
      </c>
      <c r="S14" s="324" t="s">
        <v>84</v>
      </c>
      <c r="T14" s="169" t="s">
        <v>9</v>
      </c>
      <c r="U14" s="366" t="s">
        <v>91</v>
      </c>
      <c r="V14" s="96" t="s">
        <v>610</v>
      </c>
    </row>
    <row r="15" spans="1:22" s="315" customFormat="1" ht="43.15" customHeight="1" thickBot="1" x14ac:dyDescent="0.35">
      <c r="A15" s="401"/>
      <c r="B15" s="401"/>
      <c r="C15" s="310" t="s">
        <v>92</v>
      </c>
      <c r="D15" s="310" t="s">
        <v>93</v>
      </c>
      <c r="E15" s="401"/>
      <c r="F15" s="311" t="s">
        <v>57</v>
      </c>
      <c r="G15" s="312">
        <v>2</v>
      </c>
      <c r="H15" s="313">
        <v>751762</v>
      </c>
      <c r="I15" s="309">
        <f>(G15*H15)</f>
        <v>1503524</v>
      </c>
      <c r="J15" s="309">
        <f t="shared" si="0"/>
        <v>50117.466666666667</v>
      </c>
      <c r="K15" s="312" t="s">
        <v>94</v>
      </c>
      <c r="L15" s="313"/>
      <c r="M15" s="313">
        <f>I15/2</f>
        <v>751762</v>
      </c>
      <c r="N15" s="313">
        <v>751762</v>
      </c>
      <c r="O15" s="314"/>
      <c r="P15" s="314">
        <v>5400</v>
      </c>
      <c r="Q15" s="314" t="s">
        <v>82</v>
      </c>
      <c r="R15" s="314" t="s">
        <v>83</v>
      </c>
      <c r="S15" s="314" t="s">
        <v>84</v>
      </c>
      <c r="T15" s="314" t="s">
        <v>9</v>
      </c>
      <c r="U15" s="367" t="s">
        <v>95</v>
      </c>
      <c r="V15" s="314" t="s">
        <v>610</v>
      </c>
    </row>
    <row r="16" spans="1:22" s="315" customFormat="1" ht="72" customHeight="1" thickBot="1" x14ac:dyDescent="0.35">
      <c r="A16" s="398" t="s">
        <v>52</v>
      </c>
      <c r="B16" s="400" t="s">
        <v>96</v>
      </c>
      <c r="C16" s="316" t="s">
        <v>97</v>
      </c>
      <c r="D16" s="316" t="s">
        <v>98</v>
      </c>
      <c r="E16" s="412" t="s">
        <v>74</v>
      </c>
      <c r="F16" s="317" t="s">
        <v>57</v>
      </c>
      <c r="G16" s="318">
        <v>4</v>
      </c>
      <c r="H16" s="319">
        <v>372539.0625</v>
      </c>
      <c r="I16" s="320">
        <f>(G16*H16)</f>
        <v>1490156.25</v>
      </c>
      <c r="J16" s="320">
        <f t="shared" si="0"/>
        <v>49671.875</v>
      </c>
      <c r="K16" s="318" t="s">
        <v>81</v>
      </c>
      <c r="L16" s="320">
        <v>270937.5</v>
      </c>
      <c r="M16" s="319">
        <v>541875</v>
      </c>
      <c r="N16" s="319">
        <v>541875</v>
      </c>
      <c r="O16" s="321">
        <v>135468.75</v>
      </c>
      <c r="P16" s="386">
        <v>5400</v>
      </c>
      <c r="Q16" s="321" t="s">
        <v>82</v>
      </c>
      <c r="R16" s="321" t="s">
        <v>83</v>
      </c>
      <c r="S16" s="321" t="s">
        <v>84</v>
      </c>
      <c r="T16" s="321" t="s">
        <v>9</v>
      </c>
      <c r="U16" s="368" t="s">
        <v>99</v>
      </c>
      <c r="V16" s="321" t="s">
        <v>611</v>
      </c>
    </row>
    <row r="17" spans="1:22" ht="43.15" customHeight="1" thickBot="1" x14ac:dyDescent="0.35">
      <c r="A17" s="399"/>
      <c r="B17" s="401"/>
      <c r="C17" s="33" t="s">
        <v>100</v>
      </c>
      <c r="D17" s="34" t="s">
        <v>101</v>
      </c>
      <c r="E17" s="401"/>
      <c r="F17" s="29" t="s">
        <v>57</v>
      </c>
      <c r="G17" s="30">
        <v>2</v>
      </c>
      <c r="H17" s="31">
        <v>223238</v>
      </c>
      <c r="I17" s="32">
        <f>G17*H17</f>
        <v>446476</v>
      </c>
      <c r="J17" s="32">
        <f t="shared" si="0"/>
        <v>14882.533333333333</v>
      </c>
      <c r="K17" s="30" t="s">
        <v>102</v>
      </c>
      <c r="L17" s="32"/>
      <c r="M17" s="32">
        <f>I17/2</f>
        <v>223238</v>
      </c>
      <c r="N17" s="30"/>
      <c r="O17" s="170">
        <v>223238</v>
      </c>
      <c r="P17" s="387">
        <v>5400</v>
      </c>
      <c r="Q17" s="170" t="s">
        <v>82</v>
      </c>
      <c r="R17" s="170" t="s">
        <v>83</v>
      </c>
      <c r="S17" s="170" t="s">
        <v>84</v>
      </c>
      <c r="T17" s="170" t="s">
        <v>9</v>
      </c>
      <c r="U17" s="369" t="s">
        <v>103</v>
      </c>
      <c r="V17" s="170" t="s">
        <v>611</v>
      </c>
    </row>
    <row r="18" spans="1:22" ht="43.15" customHeight="1" thickBot="1" x14ac:dyDescent="0.35">
      <c r="A18" s="35" t="s">
        <v>52</v>
      </c>
      <c r="B18" s="36" t="s">
        <v>104</v>
      </c>
      <c r="C18" s="37" t="s">
        <v>105</v>
      </c>
      <c r="D18" s="38" t="s">
        <v>105</v>
      </c>
      <c r="E18" s="308" t="s">
        <v>56</v>
      </c>
      <c r="F18" s="17" t="s">
        <v>57</v>
      </c>
      <c r="G18" s="18">
        <v>1</v>
      </c>
      <c r="H18" s="19">
        <v>500000</v>
      </c>
      <c r="I18" s="20">
        <f>G18*H18</f>
        <v>500000</v>
      </c>
      <c r="J18" s="20">
        <f t="shared" si="0"/>
        <v>16666.666666666668</v>
      </c>
      <c r="K18" s="18" t="s">
        <v>7</v>
      </c>
      <c r="L18" s="18"/>
      <c r="M18" s="18"/>
      <c r="N18" s="18"/>
      <c r="O18" s="168">
        <f>I18</f>
        <v>500000</v>
      </c>
      <c r="P18" s="96">
        <v>5100</v>
      </c>
      <c r="Q18" s="168" t="s">
        <v>58</v>
      </c>
      <c r="R18" s="168" t="s">
        <v>59</v>
      </c>
      <c r="S18" s="168" t="s">
        <v>617</v>
      </c>
      <c r="T18" s="168" t="s">
        <v>9</v>
      </c>
      <c r="U18" s="363" t="s">
        <v>106</v>
      </c>
      <c r="V18" s="168" t="s">
        <v>71</v>
      </c>
    </row>
    <row r="19" spans="1:22" s="315" customFormat="1" ht="26.45" customHeight="1" thickBot="1" x14ac:dyDescent="0.35">
      <c r="A19" s="417" t="s">
        <v>52</v>
      </c>
      <c r="B19" s="409" t="s">
        <v>107</v>
      </c>
      <c r="C19" s="325" t="s">
        <v>108</v>
      </c>
      <c r="D19" s="326" t="s">
        <v>109</v>
      </c>
      <c r="E19" s="413" t="s">
        <v>74</v>
      </c>
      <c r="F19" s="327" t="s">
        <v>110</v>
      </c>
      <c r="G19" s="328">
        <v>4</v>
      </c>
      <c r="H19" s="329">
        <v>550885</v>
      </c>
      <c r="I19" s="43">
        <f>G19*H19</f>
        <v>2203540</v>
      </c>
      <c r="J19" s="330">
        <f t="shared" si="0"/>
        <v>73451.333333333328</v>
      </c>
      <c r="K19" s="328" t="s">
        <v>81</v>
      </c>
      <c r="L19" s="330">
        <v>367256.66666666669</v>
      </c>
      <c r="M19" s="329">
        <f>550885+183628.33</f>
        <v>734513.33</v>
      </c>
      <c r="N19" s="329">
        <f>550885+367256.67</f>
        <v>918141.66999999993</v>
      </c>
      <c r="O19" s="331">
        <v>183628.33333333331</v>
      </c>
      <c r="P19" s="388">
        <v>5400</v>
      </c>
      <c r="Q19" s="331" t="s">
        <v>82</v>
      </c>
      <c r="R19" s="331" t="s">
        <v>83</v>
      </c>
      <c r="S19" s="331" t="s">
        <v>618</v>
      </c>
      <c r="T19" s="331" t="s">
        <v>9</v>
      </c>
      <c r="U19" s="370" t="s">
        <v>111</v>
      </c>
      <c r="V19" s="331" t="s">
        <v>630</v>
      </c>
    </row>
    <row r="20" spans="1:22" s="315" customFormat="1" ht="26.45" customHeight="1" x14ac:dyDescent="0.3">
      <c r="A20" s="418"/>
      <c r="B20" s="410"/>
      <c r="C20" s="353"/>
      <c r="D20" s="354"/>
      <c r="E20" s="399"/>
      <c r="F20" s="327"/>
      <c r="G20" s="328"/>
      <c r="H20" s="329"/>
      <c r="I20" s="43"/>
      <c r="J20" s="330"/>
      <c r="K20" s="328"/>
      <c r="L20" s="330"/>
      <c r="M20" s="329"/>
      <c r="N20" s="329"/>
      <c r="O20" s="331"/>
      <c r="P20" s="388">
        <v>5400</v>
      </c>
      <c r="Q20" s="331" t="s">
        <v>82</v>
      </c>
      <c r="R20" s="331" t="s">
        <v>83</v>
      </c>
      <c r="S20" s="331" t="s">
        <v>618</v>
      </c>
      <c r="T20" s="331" t="s">
        <v>9</v>
      </c>
      <c r="U20" s="370"/>
      <c r="V20" s="331" t="s">
        <v>630</v>
      </c>
    </row>
    <row r="21" spans="1:22" ht="19.899999999999999" customHeight="1" x14ac:dyDescent="0.3">
      <c r="A21" s="418"/>
      <c r="B21" s="411"/>
      <c r="C21" s="44" t="s">
        <v>112</v>
      </c>
      <c r="D21" s="45" t="s">
        <v>113</v>
      </c>
      <c r="E21" s="399"/>
      <c r="F21" s="46" t="s">
        <v>114</v>
      </c>
      <c r="G21" s="41">
        <v>1</v>
      </c>
      <c r="H21" s="42">
        <v>669700</v>
      </c>
      <c r="I21" s="43">
        <f>G21*H21</f>
        <v>669700</v>
      </c>
      <c r="J21" s="43">
        <f t="shared" ref="J21:J65" si="1">I21/30</f>
        <v>22323.333333333332</v>
      </c>
      <c r="K21" s="41" t="s">
        <v>7</v>
      </c>
      <c r="L21" s="41"/>
      <c r="M21" s="41"/>
      <c r="N21" s="41"/>
      <c r="O21" s="171">
        <f>I21</f>
        <v>669700</v>
      </c>
      <c r="P21" s="388">
        <v>5400</v>
      </c>
      <c r="Q21" s="331" t="s">
        <v>82</v>
      </c>
      <c r="R21" s="331" t="s">
        <v>83</v>
      </c>
      <c r="S21" s="171" t="s">
        <v>618</v>
      </c>
      <c r="T21" s="171" t="s">
        <v>9</v>
      </c>
      <c r="U21" s="371" t="s">
        <v>115</v>
      </c>
      <c r="V21" s="331" t="s">
        <v>630</v>
      </c>
    </row>
    <row r="22" spans="1:22" ht="19.899999999999999" customHeight="1" x14ac:dyDescent="0.3">
      <c r="A22" s="418"/>
      <c r="B22" s="411"/>
      <c r="C22" s="47" t="s">
        <v>116</v>
      </c>
      <c r="D22" s="48"/>
      <c r="E22" s="399"/>
      <c r="F22" s="46"/>
      <c r="G22" s="41"/>
      <c r="H22" s="42"/>
      <c r="I22" s="43"/>
      <c r="J22" s="43">
        <f t="shared" si="1"/>
        <v>0</v>
      </c>
      <c r="K22" s="41"/>
      <c r="L22" s="42"/>
      <c r="M22" s="42"/>
      <c r="N22" s="42"/>
      <c r="O22" s="172"/>
      <c r="P22" s="389">
        <v>5400</v>
      </c>
      <c r="Q22" s="172" t="s">
        <v>82</v>
      </c>
      <c r="R22" s="172" t="s">
        <v>83</v>
      </c>
      <c r="S22" s="172" t="s">
        <v>618</v>
      </c>
      <c r="T22" s="172" t="s">
        <v>9</v>
      </c>
      <c r="U22" s="372" t="s">
        <v>117</v>
      </c>
      <c r="V22" s="331" t="s">
        <v>630</v>
      </c>
    </row>
    <row r="23" spans="1:22" ht="19.899999999999999" customHeight="1" x14ac:dyDescent="0.3">
      <c r="A23" s="418"/>
      <c r="B23" s="411"/>
      <c r="C23" s="44" t="s">
        <v>118</v>
      </c>
      <c r="D23" s="45" t="s">
        <v>119</v>
      </c>
      <c r="E23" s="399"/>
      <c r="F23" s="46" t="s">
        <v>114</v>
      </c>
      <c r="G23" s="41">
        <v>1</v>
      </c>
      <c r="H23" s="42">
        <v>287740</v>
      </c>
      <c r="I23" s="43">
        <f t="shared" ref="I23:I52" si="2">G23*H23</f>
        <v>287740</v>
      </c>
      <c r="J23" s="43">
        <f t="shared" si="1"/>
        <v>9591.3333333333339</v>
      </c>
      <c r="K23" s="41" t="s">
        <v>4</v>
      </c>
      <c r="L23" s="42">
        <f>I23</f>
        <v>287740</v>
      </c>
      <c r="M23" s="42"/>
      <c r="N23" s="42"/>
      <c r="O23" s="172"/>
      <c r="P23" s="388">
        <v>5400</v>
      </c>
      <c r="Q23" s="331" t="s">
        <v>82</v>
      </c>
      <c r="R23" s="331" t="s">
        <v>83</v>
      </c>
      <c r="S23" s="172" t="s">
        <v>618</v>
      </c>
      <c r="T23" s="172" t="s">
        <v>9</v>
      </c>
      <c r="U23" s="372" t="s">
        <v>120</v>
      </c>
      <c r="V23" s="331" t="s">
        <v>630</v>
      </c>
    </row>
    <row r="24" spans="1:22" ht="19.899999999999999" customHeight="1" x14ac:dyDescent="0.3">
      <c r="A24" s="418"/>
      <c r="B24" s="411"/>
      <c r="C24" s="44" t="s">
        <v>121</v>
      </c>
      <c r="D24" s="48" t="s">
        <v>122</v>
      </c>
      <c r="E24" s="399"/>
      <c r="F24" s="46" t="s">
        <v>114</v>
      </c>
      <c r="G24" s="41">
        <v>4</v>
      </c>
      <c r="H24" s="42">
        <v>13000</v>
      </c>
      <c r="I24" s="43">
        <f t="shared" si="2"/>
        <v>52000</v>
      </c>
      <c r="J24" s="43">
        <f t="shared" si="1"/>
        <v>1733.3333333333333</v>
      </c>
      <c r="K24" s="41" t="s">
        <v>81</v>
      </c>
      <c r="L24" s="42">
        <f>I24/4</f>
        <v>13000</v>
      </c>
      <c r="M24" s="42">
        <v>13000</v>
      </c>
      <c r="N24" s="42">
        <v>13000</v>
      </c>
      <c r="O24" s="172">
        <v>13000</v>
      </c>
      <c r="P24" s="388">
        <v>5400</v>
      </c>
      <c r="Q24" s="331" t="s">
        <v>82</v>
      </c>
      <c r="R24" s="331" t="s">
        <v>83</v>
      </c>
      <c r="S24" s="172" t="s">
        <v>125</v>
      </c>
      <c r="T24" s="172" t="s">
        <v>9</v>
      </c>
      <c r="U24" s="372" t="s">
        <v>126</v>
      </c>
      <c r="V24" s="331" t="s">
        <v>630</v>
      </c>
    </row>
    <row r="25" spans="1:22" ht="19.899999999999999" customHeight="1" x14ac:dyDescent="0.3">
      <c r="A25" s="418"/>
      <c r="B25" s="411"/>
      <c r="C25" s="44" t="s">
        <v>127</v>
      </c>
      <c r="D25" s="48" t="s">
        <v>128</v>
      </c>
      <c r="E25" s="399"/>
      <c r="F25" s="46" t="s">
        <v>114</v>
      </c>
      <c r="G25" s="41">
        <v>3</v>
      </c>
      <c r="H25" s="42">
        <v>16666.666666666672</v>
      </c>
      <c r="I25" s="43">
        <f t="shared" si="2"/>
        <v>50000.000000000015</v>
      </c>
      <c r="J25" s="43">
        <f t="shared" si="1"/>
        <v>1666.6666666666672</v>
      </c>
      <c r="K25" s="41" t="s">
        <v>129</v>
      </c>
      <c r="L25" s="42"/>
      <c r="M25" s="42">
        <f>I25/3</f>
        <v>16666.666666666672</v>
      </c>
      <c r="N25" s="42">
        <v>16666.666666666672</v>
      </c>
      <c r="O25" s="172">
        <v>16666.666666666672</v>
      </c>
      <c r="P25" s="388">
        <v>5400</v>
      </c>
      <c r="Q25" s="331" t="s">
        <v>82</v>
      </c>
      <c r="R25" s="331" t="s">
        <v>83</v>
      </c>
      <c r="S25" s="172" t="s">
        <v>618</v>
      </c>
      <c r="T25" s="172" t="s">
        <v>9</v>
      </c>
      <c r="U25" s="372" t="s">
        <v>130</v>
      </c>
      <c r="V25" s="331" t="s">
        <v>630</v>
      </c>
    </row>
    <row r="26" spans="1:22" ht="19.899999999999999" customHeight="1" x14ac:dyDescent="0.3">
      <c r="A26" s="418"/>
      <c r="B26" s="411"/>
      <c r="C26" s="44" t="s">
        <v>131</v>
      </c>
      <c r="D26" s="48" t="s">
        <v>132</v>
      </c>
      <c r="E26" s="399"/>
      <c r="F26" s="46" t="s">
        <v>114</v>
      </c>
      <c r="G26" s="41">
        <v>1</v>
      </c>
      <c r="H26" s="42">
        <v>60000</v>
      </c>
      <c r="I26" s="43">
        <f t="shared" si="2"/>
        <v>60000</v>
      </c>
      <c r="J26" s="43">
        <f t="shared" si="1"/>
        <v>2000</v>
      </c>
      <c r="K26" s="41" t="s">
        <v>5</v>
      </c>
      <c r="L26" s="41"/>
      <c r="M26" s="43">
        <f>I26</f>
        <v>60000</v>
      </c>
      <c r="N26" s="41"/>
      <c r="O26" s="155"/>
      <c r="P26" s="155">
        <v>5200</v>
      </c>
      <c r="Q26" s="155" t="s">
        <v>123</v>
      </c>
      <c r="R26" s="393" t="s">
        <v>83</v>
      </c>
      <c r="S26" s="155" t="s">
        <v>125</v>
      </c>
      <c r="T26" s="155" t="s">
        <v>9</v>
      </c>
      <c r="U26" s="373" t="s">
        <v>133</v>
      </c>
      <c r="V26" s="155" t="s">
        <v>632</v>
      </c>
    </row>
    <row r="27" spans="1:22" ht="19.899999999999999" customHeight="1" x14ac:dyDescent="0.3">
      <c r="A27" s="418"/>
      <c r="B27" s="411"/>
      <c r="C27" s="44" t="s">
        <v>134</v>
      </c>
      <c r="D27" s="48" t="s">
        <v>135</v>
      </c>
      <c r="E27" s="399"/>
      <c r="F27" s="46" t="s">
        <v>114</v>
      </c>
      <c r="G27" s="41">
        <v>1</v>
      </c>
      <c r="H27" s="42">
        <v>50000</v>
      </c>
      <c r="I27" s="43">
        <f t="shared" si="2"/>
        <v>50000</v>
      </c>
      <c r="J27" s="43">
        <f t="shared" si="1"/>
        <v>1666.6666666666667</v>
      </c>
      <c r="K27" s="41" t="s">
        <v>5</v>
      </c>
      <c r="L27" s="41"/>
      <c r="M27" s="43">
        <f>I27</f>
        <v>50000</v>
      </c>
      <c r="N27" s="41"/>
      <c r="O27" s="155"/>
      <c r="P27" s="388">
        <v>5400</v>
      </c>
      <c r="Q27" s="331" t="s">
        <v>82</v>
      </c>
      <c r="R27" s="331" t="s">
        <v>83</v>
      </c>
      <c r="S27" s="155" t="s">
        <v>618</v>
      </c>
      <c r="T27" s="155" t="s">
        <v>9</v>
      </c>
      <c r="U27" s="373" t="s">
        <v>136</v>
      </c>
      <c r="V27" s="155" t="s">
        <v>630</v>
      </c>
    </row>
    <row r="28" spans="1:22" ht="19.899999999999999" customHeight="1" x14ac:dyDescent="0.3">
      <c r="A28" s="418"/>
      <c r="B28" s="411"/>
      <c r="C28" s="275" t="s">
        <v>137</v>
      </c>
      <c r="D28" s="48" t="s">
        <v>138</v>
      </c>
      <c r="E28" s="399"/>
      <c r="F28" s="51" t="s">
        <v>114</v>
      </c>
      <c r="G28" s="276">
        <v>4</v>
      </c>
      <c r="H28" s="277">
        <v>25000</v>
      </c>
      <c r="I28" s="278">
        <f t="shared" si="2"/>
        <v>100000</v>
      </c>
      <c r="J28" s="278">
        <f t="shared" si="1"/>
        <v>3333.3333333333335</v>
      </c>
      <c r="K28" s="276" t="s">
        <v>6</v>
      </c>
      <c r="L28" s="276"/>
      <c r="M28" s="276"/>
      <c r="N28" s="278">
        <f>I28</f>
        <v>100000</v>
      </c>
      <c r="O28" s="279"/>
      <c r="P28" s="388">
        <v>5400</v>
      </c>
      <c r="Q28" s="331" t="s">
        <v>82</v>
      </c>
      <c r="R28" s="331" t="s">
        <v>83</v>
      </c>
      <c r="S28" s="279" t="s">
        <v>618</v>
      </c>
      <c r="T28" s="279" t="s">
        <v>9</v>
      </c>
      <c r="U28" s="374" t="s">
        <v>139</v>
      </c>
      <c r="V28" s="279" t="s">
        <v>630</v>
      </c>
    </row>
    <row r="29" spans="1:22" ht="15" customHeight="1" x14ac:dyDescent="0.3">
      <c r="A29" s="418"/>
      <c r="B29" s="411"/>
      <c r="C29" s="271" t="s">
        <v>140</v>
      </c>
      <c r="D29" s="272"/>
      <c r="E29" s="272"/>
      <c r="F29" s="272"/>
      <c r="G29" s="272"/>
      <c r="H29" s="273"/>
      <c r="I29" s="274">
        <f t="shared" si="2"/>
        <v>0</v>
      </c>
      <c r="J29" s="274">
        <f t="shared" si="1"/>
        <v>0</v>
      </c>
      <c r="K29" s="272"/>
      <c r="L29" s="272"/>
      <c r="M29" s="272"/>
      <c r="N29" s="272"/>
      <c r="O29" s="272"/>
      <c r="P29" s="388">
        <v>5400</v>
      </c>
      <c r="Q29" s="331" t="s">
        <v>82</v>
      </c>
      <c r="R29" s="331" t="s">
        <v>83</v>
      </c>
      <c r="S29" s="272" t="s">
        <v>618</v>
      </c>
      <c r="T29" s="272" t="s">
        <v>9</v>
      </c>
      <c r="U29" s="375" t="s">
        <v>141</v>
      </c>
      <c r="V29" s="272" t="s">
        <v>630</v>
      </c>
    </row>
    <row r="30" spans="1:22" ht="57.6" customHeight="1" thickBot="1" x14ac:dyDescent="0.35">
      <c r="A30" s="418"/>
      <c r="B30" s="411"/>
      <c r="C30" s="280" t="s">
        <v>142</v>
      </c>
      <c r="D30" s="281" t="s">
        <v>143</v>
      </c>
      <c r="E30" s="403" t="s">
        <v>144</v>
      </c>
      <c r="F30" s="282" t="s">
        <v>145</v>
      </c>
      <c r="G30" s="283">
        <v>129</v>
      </c>
      <c r="H30" s="284">
        <v>3500</v>
      </c>
      <c r="I30" s="285">
        <f t="shared" si="2"/>
        <v>451500</v>
      </c>
      <c r="J30" s="286">
        <f t="shared" si="1"/>
        <v>15050</v>
      </c>
      <c r="K30" s="287" t="s">
        <v>81</v>
      </c>
      <c r="L30" s="286">
        <f>I30/4</f>
        <v>112875</v>
      </c>
      <c r="M30" s="288">
        <v>112875</v>
      </c>
      <c r="N30" s="288">
        <v>112875</v>
      </c>
      <c r="O30" s="289">
        <v>112875</v>
      </c>
      <c r="P30" s="390">
        <v>5800</v>
      </c>
      <c r="Q30" s="289" t="s">
        <v>619</v>
      </c>
      <c r="R30" s="331" t="s">
        <v>83</v>
      </c>
      <c r="S30" s="289" t="s">
        <v>620</v>
      </c>
      <c r="T30" s="289" t="s">
        <v>9</v>
      </c>
      <c r="U30" s="376" t="s">
        <v>146</v>
      </c>
      <c r="V30" s="289" t="s">
        <v>631</v>
      </c>
    </row>
    <row r="31" spans="1:22" ht="21" customHeight="1" thickBot="1" x14ac:dyDescent="0.35">
      <c r="A31" s="419"/>
      <c r="B31" s="411"/>
      <c r="C31" s="50" t="s">
        <v>147</v>
      </c>
      <c r="D31" s="49" t="s">
        <v>148</v>
      </c>
      <c r="E31" s="401"/>
      <c r="F31" s="50" t="s">
        <v>149</v>
      </c>
      <c r="G31" s="41">
        <v>1</v>
      </c>
      <c r="H31" s="42">
        <v>215000</v>
      </c>
      <c r="I31" s="43">
        <f t="shared" si="2"/>
        <v>215000</v>
      </c>
      <c r="J31" s="176">
        <f t="shared" si="1"/>
        <v>7166.666666666667</v>
      </c>
      <c r="K31" s="46" t="s">
        <v>150</v>
      </c>
      <c r="L31" s="176">
        <f>I31/2</f>
        <v>107500</v>
      </c>
      <c r="M31" s="177">
        <v>107500</v>
      </c>
      <c r="N31" s="46"/>
      <c r="O31" s="157"/>
      <c r="P31" s="157">
        <v>5600</v>
      </c>
      <c r="Q31" s="157" t="s">
        <v>151</v>
      </c>
      <c r="R31" s="157" t="s">
        <v>152</v>
      </c>
      <c r="S31" s="157" t="s">
        <v>153</v>
      </c>
      <c r="T31" s="157" t="s">
        <v>9</v>
      </c>
      <c r="U31" s="377" t="s">
        <v>154</v>
      </c>
      <c r="V31" s="157" t="s">
        <v>633</v>
      </c>
    </row>
    <row r="32" spans="1:22" s="315" customFormat="1" ht="35.25" customHeight="1" thickBot="1" x14ac:dyDescent="0.35">
      <c r="A32" s="332" t="s">
        <v>52</v>
      </c>
      <c r="B32" s="332" t="s">
        <v>155</v>
      </c>
      <c r="C32" s="333" t="s">
        <v>156</v>
      </c>
      <c r="D32" s="334" t="s">
        <v>157</v>
      </c>
      <c r="E32" s="335" t="s">
        <v>74</v>
      </c>
      <c r="F32" s="358" t="s">
        <v>158</v>
      </c>
      <c r="G32" s="312">
        <v>2</v>
      </c>
      <c r="H32" s="313">
        <v>639540</v>
      </c>
      <c r="I32" s="309">
        <f t="shared" si="2"/>
        <v>1279080</v>
      </c>
      <c r="J32" s="336">
        <f t="shared" si="1"/>
        <v>42636</v>
      </c>
      <c r="K32" s="337" t="s">
        <v>159</v>
      </c>
      <c r="L32" s="337"/>
      <c r="M32" s="338">
        <f>I32/2</f>
        <v>639540</v>
      </c>
      <c r="N32" s="338"/>
      <c r="O32" s="339">
        <v>639540</v>
      </c>
      <c r="P32" s="391">
        <v>5100</v>
      </c>
      <c r="Q32" s="339" t="s">
        <v>58</v>
      </c>
      <c r="R32" s="168" t="s">
        <v>59</v>
      </c>
      <c r="S32" s="339" t="s">
        <v>621</v>
      </c>
      <c r="T32" s="339" t="s">
        <v>9</v>
      </c>
      <c r="U32" s="378" t="s">
        <v>160</v>
      </c>
      <c r="V32" s="339" t="s">
        <v>634</v>
      </c>
    </row>
    <row r="33" spans="1:22" ht="29.25" customHeight="1" thickBot="1" x14ac:dyDescent="0.35">
      <c r="A33" s="56"/>
      <c r="B33" s="64"/>
      <c r="C33" s="53" t="s">
        <v>161</v>
      </c>
      <c r="D33" s="21" t="s">
        <v>162</v>
      </c>
      <c r="E33" s="357"/>
      <c r="F33" s="356" t="s">
        <v>163</v>
      </c>
      <c r="G33" s="52">
        <v>1</v>
      </c>
      <c r="H33" s="19">
        <v>59050</v>
      </c>
      <c r="I33" s="20">
        <f t="shared" si="2"/>
        <v>59050</v>
      </c>
      <c r="J33" s="20">
        <f t="shared" si="1"/>
        <v>1968.3333333333333</v>
      </c>
      <c r="K33" s="18" t="s">
        <v>6</v>
      </c>
      <c r="L33" s="18"/>
      <c r="M33" s="18"/>
      <c r="N33" s="20">
        <f>I33</f>
        <v>59050</v>
      </c>
      <c r="O33" s="96"/>
      <c r="P33" s="391">
        <v>5100</v>
      </c>
      <c r="Q33" s="339" t="s">
        <v>58</v>
      </c>
      <c r="R33" s="168" t="s">
        <v>59</v>
      </c>
      <c r="S33" s="96" t="s">
        <v>621</v>
      </c>
      <c r="T33" s="96" t="s">
        <v>9</v>
      </c>
      <c r="U33" s="364" t="s">
        <v>164</v>
      </c>
      <c r="V33" s="96" t="s">
        <v>634</v>
      </c>
    </row>
    <row r="34" spans="1:22" s="315" customFormat="1" ht="29.25" customHeight="1" x14ac:dyDescent="0.3">
      <c r="A34" s="332" t="s">
        <v>52</v>
      </c>
      <c r="B34" s="340"/>
      <c r="C34" s="341" t="s">
        <v>165</v>
      </c>
      <c r="D34" s="415" t="s">
        <v>166</v>
      </c>
      <c r="E34" s="342" t="s">
        <v>56</v>
      </c>
      <c r="F34" s="359" t="s">
        <v>167</v>
      </c>
      <c r="G34" s="312">
        <v>6</v>
      </c>
      <c r="H34" s="343">
        <v>104200</v>
      </c>
      <c r="I34" s="344">
        <f t="shared" si="2"/>
        <v>625200</v>
      </c>
      <c r="J34" s="345">
        <f t="shared" si="1"/>
        <v>20840</v>
      </c>
      <c r="K34" s="346" t="s">
        <v>129</v>
      </c>
      <c r="L34" s="347"/>
      <c r="M34" s="348">
        <f>I34/3</f>
        <v>208400</v>
      </c>
      <c r="N34" s="349">
        <v>208400</v>
      </c>
      <c r="O34" s="350">
        <v>208400</v>
      </c>
      <c r="P34" s="391">
        <v>5100</v>
      </c>
      <c r="Q34" s="339" t="s">
        <v>58</v>
      </c>
      <c r="R34" s="168" t="s">
        <v>59</v>
      </c>
      <c r="S34" s="168" t="s">
        <v>60</v>
      </c>
      <c r="T34" s="350" t="s">
        <v>9</v>
      </c>
      <c r="U34" s="350" t="s">
        <v>168</v>
      </c>
      <c r="V34" s="350" t="s">
        <v>634</v>
      </c>
    </row>
    <row r="35" spans="1:22" ht="28.9" customHeight="1" x14ac:dyDescent="0.3">
      <c r="A35" s="64"/>
      <c r="B35" s="64"/>
      <c r="C35" s="53" t="s">
        <v>169</v>
      </c>
      <c r="D35" s="416"/>
      <c r="E35" s="15"/>
      <c r="F35" s="181"/>
      <c r="G35" s="297">
        <v>6</v>
      </c>
      <c r="H35" s="291">
        <v>61143.333333333343</v>
      </c>
      <c r="I35" s="292">
        <f t="shared" si="2"/>
        <v>366860.00000000006</v>
      </c>
      <c r="J35" s="292">
        <f t="shared" si="1"/>
        <v>12228.666666666668</v>
      </c>
      <c r="K35" s="293"/>
      <c r="L35" s="294"/>
      <c r="M35" s="295">
        <f>I35/3</f>
        <v>122286.66666666669</v>
      </c>
      <c r="N35" s="296">
        <v>122286.6666666667</v>
      </c>
      <c r="O35" s="296">
        <v>122286.6666666667</v>
      </c>
      <c r="P35" s="391">
        <v>5100</v>
      </c>
      <c r="Q35" s="339" t="s">
        <v>58</v>
      </c>
      <c r="R35" s="168" t="s">
        <v>59</v>
      </c>
      <c r="S35" s="168" t="s">
        <v>60</v>
      </c>
      <c r="T35" s="296" t="s">
        <v>9</v>
      </c>
      <c r="U35" s="296" t="s">
        <v>170</v>
      </c>
      <c r="V35" s="296" t="s">
        <v>634</v>
      </c>
    </row>
    <row r="36" spans="1:22" ht="29.45" customHeight="1" thickBot="1" x14ac:dyDescent="0.35">
      <c r="A36" s="56"/>
      <c r="B36" s="64"/>
      <c r="C36" s="53" t="s">
        <v>171</v>
      </c>
      <c r="D36" s="55" t="s">
        <v>172</v>
      </c>
      <c r="E36" s="15"/>
      <c r="F36" s="182"/>
      <c r="G36" s="18">
        <f>2*7</f>
        <v>14</v>
      </c>
      <c r="H36" s="298">
        <v>2000</v>
      </c>
      <c r="I36" s="299">
        <f t="shared" si="2"/>
        <v>28000</v>
      </c>
      <c r="J36" s="240">
        <f t="shared" si="1"/>
        <v>933.33333333333337</v>
      </c>
      <c r="K36" s="61" t="s">
        <v>159</v>
      </c>
      <c r="L36" s="61"/>
      <c r="M36" s="240">
        <f>I36/2</f>
        <v>14000</v>
      </c>
      <c r="N36" s="61"/>
      <c r="O36" s="300">
        <v>14000</v>
      </c>
      <c r="P36" s="391">
        <v>5100</v>
      </c>
      <c r="Q36" s="339" t="s">
        <v>58</v>
      </c>
      <c r="R36" s="168" t="s">
        <v>59</v>
      </c>
      <c r="S36" s="168" t="s">
        <v>60</v>
      </c>
      <c r="T36" s="300" t="s">
        <v>9</v>
      </c>
      <c r="U36" s="379" t="s">
        <v>173</v>
      </c>
      <c r="V36" s="300" t="s">
        <v>634</v>
      </c>
    </row>
    <row r="37" spans="1:22" ht="19.149999999999999" customHeight="1" thickBot="1" x14ac:dyDescent="0.35">
      <c r="A37" s="56" t="s">
        <v>52</v>
      </c>
      <c r="B37" s="56"/>
      <c r="C37" s="57" t="s">
        <v>174</v>
      </c>
      <c r="D37" s="24" t="s">
        <v>175</v>
      </c>
      <c r="E37" s="24" t="s">
        <v>56</v>
      </c>
      <c r="F37" s="24" t="s">
        <v>167</v>
      </c>
      <c r="G37" s="18">
        <v>1</v>
      </c>
      <c r="H37" s="19">
        <v>1200</v>
      </c>
      <c r="I37" s="20">
        <f t="shared" si="2"/>
        <v>1200</v>
      </c>
      <c r="J37" s="173">
        <f t="shared" si="1"/>
        <v>40</v>
      </c>
      <c r="K37" s="52" t="s">
        <v>176</v>
      </c>
      <c r="L37" s="52"/>
      <c r="M37" s="173">
        <f>I37/2</f>
        <v>600</v>
      </c>
      <c r="N37" s="52">
        <v>600</v>
      </c>
      <c r="O37" s="156"/>
      <c r="P37" s="156">
        <v>5100</v>
      </c>
      <c r="Q37" s="339" t="s">
        <v>58</v>
      </c>
      <c r="R37" s="156" t="s">
        <v>59</v>
      </c>
      <c r="S37" s="156" t="s">
        <v>621</v>
      </c>
      <c r="T37" s="156" t="s">
        <v>9</v>
      </c>
      <c r="U37" s="380" t="s">
        <v>177</v>
      </c>
      <c r="V37" s="156" t="s">
        <v>634</v>
      </c>
    </row>
    <row r="38" spans="1:22" ht="31.9" customHeight="1" thickBot="1" x14ac:dyDescent="0.4">
      <c r="A38" s="414" t="s">
        <v>12</v>
      </c>
      <c r="B38" s="407" t="s">
        <v>178</v>
      </c>
      <c r="C38" s="301" t="s">
        <v>179</v>
      </c>
      <c r="D38" s="21" t="s">
        <v>180</v>
      </c>
      <c r="E38" s="25" t="s">
        <v>181</v>
      </c>
      <c r="F38" s="16" t="s">
        <v>182</v>
      </c>
      <c r="G38" s="18">
        <v>1</v>
      </c>
      <c r="H38" s="20">
        <v>59100</v>
      </c>
      <c r="I38" s="20">
        <f t="shared" si="2"/>
        <v>59100</v>
      </c>
      <c r="J38" s="302">
        <f t="shared" si="1"/>
        <v>1970</v>
      </c>
      <c r="K38" s="52" t="s">
        <v>6</v>
      </c>
      <c r="L38" s="52"/>
      <c r="M38" s="52"/>
      <c r="N38" s="173">
        <f>I38</f>
        <v>59100</v>
      </c>
      <c r="O38" s="156"/>
      <c r="P38" s="156">
        <v>5300</v>
      </c>
      <c r="Q38" s="156" t="s">
        <v>183</v>
      </c>
      <c r="R38" s="156" t="s">
        <v>184</v>
      </c>
      <c r="S38" s="156" t="s">
        <v>185</v>
      </c>
      <c r="T38" s="156" t="s">
        <v>9</v>
      </c>
      <c r="U38" s="380" t="s">
        <v>186</v>
      </c>
      <c r="V38" s="156" t="s">
        <v>635</v>
      </c>
    </row>
    <row r="39" spans="1:22" ht="28.9" customHeight="1" x14ac:dyDescent="0.3">
      <c r="A39" s="399"/>
      <c r="B39" s="399"/>
      <c r="C39" s="303" t="s">
        <v>187</v>
      </c>
      <c r="D39" s="304" t="s">
        <v>188</v>
      </c>
      <c r="E39" s="21" t="s">
        <v>189</v>
      </c>
      <c r="F39" s="26" t="s">
        <v>190</v>
      </c>
      <c r="G39" s="18">
        <v>1</v>
      </c>
      <c r="H39" s="19">
        <v>50000</v>
      </c>
      <c r="I39" s="20">
        <f t="shared" si="2"/>
        <v>50000</v>
      </c>
      <c r="J39" s="173">
        <f t="shared" si="1"/>
        <v>1666.6666666666667</v>
      </c>
      <c r="K39" s="52" t="s">
        <v>5</v>
      </c>
      <c r="L39" s="52"/>
      <c r="M39" s="173">
        <f>I39</f>
        <v>50000</v>
      </c>
      <c r="N39" s="52"/>
      <c r="O39" s="156"/>
      <c r="P39" s="156">
        <v>5300</v>
      </c>
      <c r="Q39" s="156" t="s">
        <v>183</v>
      </c>
      <c r="R39" s="156" t="s">
        <v>184</v>
      </c>
      <c r="S39" s="156" t="s">
        <v>185</v>
      </c>
      <c r="T39" s="156" t="s">
        <v>9</v>
      </c>
      <c r="U39" s="380" t="s">
        <v>191</v>
      </c>
      <c r="V39" s="156" t="s">
        <v>635</v>
      </c>
    </row>
    <row r="40" spans="1:22" ht="28.9" customHeight="1" thickBot="1" x14ac:dyDescent="0.35">
      <c r="A40" s="401"/>
      <c r="B40" s="399"/>
      <c r="C40" s="305" t="s">
        <v>192</v>
      </c>
      <c r="D40" s="59" t="s">
        <v>193</v>
      </c>
      <c r="E40" s="23" t="s">
        <v>181</v>
      </c>
      <c r="F40" s="59" t="s">
        <v>182</v>
      </c>
      <c r="G40" s="18">
        <v>1</v>
      </c>
      <c r="H40" s="19">
        <v>50000</v>
      </c>
      <c r="I40" s="20">
        <f t="shared" si="2"/>
        <v>50000</v>
      </c>
      <c r="J40" s="173">
        <f t="shared" si="1"/>
        <v>1666.6666666666667</v>
      </c>
      <c r="K40" s="52" t="s">
        <v>6</v>
      </c>
      <c r="L40" s="52"/>
      <c r="M40" s="52"/>
      <c r="N40" s="173">
        <f>I40</f>
        <v>50000</v>
      </c>
      <c r="O40" s="156"/>
      <c r="P40" s="156">
        <v>5300</v>
      </c>
      <c r="Q40" s="156" t="s">
        <v>183</v>
      </c>
      <c r="R40" s="156" t="s">
        <v>184</v>
      </c>
      <c r="S40" s="156" t="s">
        <v>185</v>
      </c>
      <c r="T40" s="156" t="s">
        <v>9</v>
      </c>
      <c r="U40" s="380" t="s">
        <v>194</v>
      </c>
      <c r="V40" s="156" t="s">
        <v>635</v>
      </c>
    </row>
    <row r="41" spans="1:22" ht="51" customHeight="1" thickBot="1" x14ac:dyDescent="0.35">
      <c r="A41" s="54" t="s">
        <v>12</v>
      </c>
      <c r="B41" s="399"/>
      <c r="C41" s="53" t="s">
        <v>195</v>
      </c>
      <c r="D41" s="21" t="s">
        <v>196</v>
      </c>
      <c r="E41" s="24" t="s">
        <v>197</v>
      </c>
      <c r="F41" s="307" t="s">
        <v>158</v>
      </c>
      <c r="G41" s="18">
        <v>3</v>
      </c>
      <c r="H41" s="19">
        <v>73583.33</v>
      </c>
      <c r="I41" s="20">
        <f t="shared" si="2"/>
        <v>220749.99</v>
      </c>
      <c r="J41" s="173">
        <f t="shared" si="1"/>
        <v>7358.3329999999996</v>
      </c>
      <c r="K41" s="52" t="s">
        <v>150</v>
      </c>
      <c r="L41" s="174">
        <f>I41/2</f>
        <v>110374.995</v>
      </c>
      <c r="M41" s="174">
        <v>110374.995</v>
      </c>
      <c r="N41" s="52"/>
      <c r="O41" s="156"/>
      <c r="P41" s="156">
        <v>5300</v>
      </c>
      <c r="Q41" s="156" t="s">
        <v>183</v>
      </c>
      <c r="R41" s="156" t="s">
        <v>184</v>
      </c>
      <c r="S41" s="156" t="s">
        <v>185</v>
      </c>
      <c r="T41" s="156" t="s">
        <v>9</v>
      </c>
      <c r="U41" s="380" t="s">
        <v>198</v>
      </c>
      <c r="V41" s="156" t="s">
        <v>635</v>
      </c>
    </row>
    <row r="42" spans="1:22" ht="53.25" customHeight="1" thickBot="1" x14ac:dyDescent="0.35">
      <c r="A42" s="54" t="s">
        <v>12</v>
      </c>
      <c r="B42" s="401"/>
      <c r="C42" s="53" t="s">
        <v>199</v>
      </c>
      <c r="D42" s="24" t="s">
        <v>189</v>
      </c>
      <c r="E42" s="24" t="s">
        <v>200</v>
      </c>
      <c r="F42" s="307" t="s">
        <v>190</v>
      </c>
      <c r="G42" s="18">
        <v>1</v>
      </c>
      <c r="H42" s="19">
        <v>123000</v>
      </c>
      <c r="I42" s="20">
        <f t="shared" si="2"/>
        <v>123000</v>
      </c>
      <c r="J42" s="173">
        <f t="shared" si="1"/>
        <v>4100</v>
      </c>
      <c r="K42" s="52" t="s">
        <v>7</v>
      </c>
      <c r="L42" s="52"/>
      <c r="M42" s="52"/>
      <c r="N42" s="52"/>
      <c r="O42" s="175">
        <f>I42</f>
        <v>123000</v>
      </c>
      <c r="P42" s="156">
        <v>5300</v>
      </c>
      <c r="Q42" s="175" t="s">
        <v>183</v>
      </c>
      <c r="R42" s="175" t="s">
        <v>184</v>
      </c>
      <c r="S42" s="175" t="s">
        <v>185</v>
      </c>
      <c r="T42" s="175" t="s">
        <v>9</v>
      </c>
      <c r="U42" s="381" t="s">
        <v>201</v>
      </c>
      <c r="V42" s="175" t="s">
        <v>635</v>
      </c>
    </row>
    <row r="43" spans="1:22" ht="31.15" customHeight="1" thickBot="1" x14ac:dyDescent="0.35">
      <c r="A43" s="406" t="s">
        <v>12</v>
      </c>
      <c r="B43" s="406" t="s">
        <v>202</v>
      </c>
      <c r="C43" s="39" t="s">
        <v>203</v>
      </c>
      <c r="D43" s="40" t="s">
        <v>204</v>
      </c>
      <c r="E43" s="39" t="s">
        <v>205</v>
      </c>
      <c r="F43" s="39" t="s">
        <v>206</v>
      </c>
      <c r="G43" s="41">
        <v>10</v>
      </c>
      <c r="H43" s="42">
        <v>5000</v>
      </c>
      <c r="I43" s="43">
        <f t="shared" si="2"/>
        <v>50000</v>
      </c>
      <c r="J43" s="176">
        <f t="shared" si="1"/>
        <v>1666.6666666666667</v>
      </c>
      <c r="K43" s="46" t="s">
        <v>81</v>
      </c>
      <c r="L43" s="176">
        <f>I43/4</f>
        <v>12500</v>
      </c>
      <c r="M43" s="177">
        <v>12500</v>
      </c>
      <c r="N43" s="177">
        <v>12500</v>
      </c>
      <c r="O43" s="178">
        <v>12500</v>
      </c>
      <c r="P43" s="392">
        <v>5300</v>
      </c>
      <c r="Q43" s="178" t="s">
        <v>183</v>
      </c>
      <c r="R43" s="178" t="s">
        <v>184</v>
      </c>
      <c r="S43" s="178" t="s">
        <v>185</v>
      </c>
      <c r="T43" s="178" t="s">
        <v>9</v>
      </c>
      <c r="U43" s="382" t="s">
        <v>207</v>
      </c>
      <c r="V43" s="178" t="s">
        <v>636</v>
      </c>
    </row>
    <row r="44" spans="1:22" ht="33" customHeight="1" x14ac:dyDescent="0.3">
      <c r="A44" s="399"/>
      <c r="B44" s="399"/>
      <c r="C44" s="44" t="s">
        <v>208</v>
      </c>
      <c r="D44" s="45" t="s">
        <v>209</v>
      </c>
      <c r="E44" s="44" t="s">
        <v>205</v>
      </c>
      <c r="F44" s="44" t="s">
        <v>206</v>
      </c>
      <c r="G44" s="41">
        <v>1</v>
      </c>
      <c r="H44" s="42">
        <v>84050</v>
      </c>
      <c r="I44" s="43">
        <f t="shared" si="2"/>
        <v>84050</v>
      </c>
      <c r="J44" s="176">
        <f t="shared" si="1"/>
        <v>2801.6666666666665</v>
      </c>
      <c r="K44" s="46" t="s">
        <v>4</v>
      </c>
      <c r="L44" s="176">
        <f>I44</f>
        <v>84050</v>
      </c>
      <c r="M44" s="46"/>
      <c r="N44" s="46"/>
      <c r="O44" s="157"/>
      <c r="P44" s="392">
        <v>5300</v>
      </c>
      <c r="Q44" s="178" t="s">
        <v>183</v>
      </c>
      <c r="R44" s="178" t="s">
        <v>184</v>
      </c>
      <c r="S44" s="157" t="s">
        <v>77</v>
      </c>
      <c r="T44" s="157" t="s">
        <v>9</v>
      </c>
      <c r="U44" s="377" t="s">
        <v>210</v>
      </c>
      <c r="V44" s="178" t="s">
        <v>636</v>
      </c>
    </row>
    <row r="45" spans="1:22" ht="33.6" customHeight="1" x14ac:dyDescent="0.3">
      <c r="A45" s="399"/>
      <c r="B45" s="399"/>
      <c r="C45" s="45" t="s">
        <v>211</v>
      </c>
      <c r="D45" s="45" t="s">
        <v>212</v>
      </c>
      <c r="E45" s="44" t="s">
        <v>205</v>
      </c>
      <c r="F45" s="44" t="s">
        <v>206</v>
      </c>
      <c r="G45" s="41">
        <v>1</v>
      </c>
      <c r="H45" s="42">
        <v>707080</v>
      </c>
      <c r="I45" s="43">
        <f t="shared" si="2"/>
        <v>707080</v>
      </c>
      <c r="J45" s="176">
        <f t="shared" si="1"/>
        <v>23569.333333333332</v>
      </c>
      <c r="K45" s="46" t="s">
        <v>81</v>
      </c>
      <c r="L45" s="176">
        <f>I45/4</f>
        <v>176770</v>
      </c>
      <c r="M45" s="177">
        <v>176770</v>
      </c>
      <c r="N45" s="177">
        <v>176770</v>
      </c>
      <c r="O45" s="178">
        <v>176770</v>
      </c>
      <c r="P45" s="392">
        <v>5300</v>
      </c>
      <c r="Q45" s="178" t="s">
        <v>183</v>
      </c>
      <c r="R45" s="178" t="s">
        <v>184</v>
      </c>
      <c r="S45" s="178" t="s">
        <v>77</v>
      </c>
      <c r="T45" s="178" t="s">
        <v>9</v>
      </c>
      <c r="U45" s="382" t="s">
        <v>213</v>
      </c>
      <c r="V45" s="178" t="s">
        <v>636</v>
      </c>
    </row>
    <row r="46" spans="1:22" ht="34.9" customHeight="1" x14ac:dyDescent="0.3">
      <c r="A46" s="399"/>
      <c r="B46" s="399"/>
      <c r="C46" s="45" t="s">
        <v>214</v>
      </c>
      <c r="D46" s="45" t="s">
        <v>215</v>
      </c>
      <c r="E46" s="44" t="s">
        <v>205</v>
      </c>
      <c r="F46" s="44" t="s">
        <v>206</v>
      </c>
      <c r="G46" s="41">
        <v>1</v>
      </c>
      <c r="H46" s="42">
        <v>88640</v>
      </c>
      <c r="I46" s="43">
        <f t="shared" si="2"/>
        <v>88640</v>
      </c>
      <c r="J46" s="176">
        <f t="shared" si="1"/>
        <v>2954.6666666666665</v>
      </c>
      <c r="K46" s="46" t="s">
        <v>6</v>
      </c>
      <c r="L46" s="46"/>
      <c r="M46" s="46"/>
      <c r="N46" s="176">
        <f>I46</f>
        <v>88640</v>
      </c>
      <c r="O46" s="157"/>
      <c r="P46" s="157">
        <v>5300</v>
      </c>
      <c r="Q46" s="157" t="s">
        <v>183</v>
      </c>
      <c r="R46" s="157" t="s">
        <v>184</v>
      </c>
      <c r="S46" s="157" t="s">
        <v>185</v>
      </c>
      <c r="T46" s="157" t="s">
        <v>9</v>
      </c>
      <c r="U46" s="377" t="s">
        <v>216</v>
      </c>
      <c r="V46" s="178" t="s">
        <v>636</v>
      </c>
    </row>
    <row r="47" spans="1:22" ht="25.15" customHeight="1" x14ac:dyDescent="0.3">
      <c r="A47" s="399"/>
      <c r="B47" s="399"/>
      <c r="C47" s="45" t="s">
        <v>217</v>
      </c>
      <c r="D47" s="45" t="s">
        <v>218</v>
      </c>
      <c r="E47" s="44" t="s">
        <v>205</v>
      </c>
      <c r="F47" s="44" t="s">
        <v>206</v>
      </c>
      <c r="G47" s="41">
        <v>4</v>
      </c>
      <c r="H47" s="42">
        <v>31500</v>
      </c>
      <c r="I47" s="43">
        <f t="shared" si="2"/>
        <v>126000</v>
      </c>
      <c r="J47" s="43">
        <f t="shared" si="1"/>
        <v>4200</v>
      </c>
      <c r="K47" s="41" t="s">
        <v>81</v>
      </c>
      <c r="L47" s="43">
        <f>I47/4</f>
        <v>31500</v>
      </c>
      <c r="M47" s="43">
        <v>31500</v>
      </c>
      <c r="N47" s="43">
        <v>31500</v>
      </c>
      <c r="O47" s="171">
        <v>31500</v>
      </c>
      <c r="P47" s="155">
        <v>5300</v>
      </c>
      <c r="Q47" s="171" t="s">
        <v>183</v>
      </c>
      <c r="R47" s="171" t="s">
        <v>184</v>
      </c>
      <c r="S47" s="171" t="s">
        <v>185</v>
      </c>
      <c r="T47" s="171" t="s">
        <v>9</v>
      </c>
      <c r="U47" s="371" t="s">
        <v>219</v>
      </c>
      <c r="V47" s="178" t="s">
        <v>636</v>
      </c>
    </row>
    <row r="48" spans="1:22" ht="27.6" customHeight="1" x14ac:dyDescent="0.3">
      <c r="A48" s="399"/>
      <c r="B48" s="399"/>
      <c r="C48" s="45" t="s">
        <v>220</v>
      </c>
      <c r="D48" s="45" t="s">
        <v>221</v>
      </c>
      <c r="E48" s="44" t="s">
        <v>205</v>
      </c>
      <c r="F48" s="44" t="s">
        <v>206</v>
      </c>
      <c r="G48" s="41">
        <v>4</v>
      </c>
      <c r="H48" s="42">
        <v>51750</v>
      </c>
      <c r="I48" s="43">
        <f t="shared" si="2"/>
        <v>207000</v>
      </c>
      <c r="J48" s="43">
        <f t="shared" si="1"/>
        <v>6900</v>
      </c>
      <c r="K48" s="41" t="s">
        <v>81</v>
      </c>
      <c r="L48" s="43">
        <f>I48/4</f>
        <v>51750</v>
      </c>
      <c r="M48" s="43">
        <v>51750</v>
      </c>
      <c r="N48" s="43">
        <v>51750</v>
      </c>
      <c r="O48" s="171">
        <v>51750</v>
      </c>
      <c r="P48" s="392">
        <v>5300</v>
      </c>
      <c r="Q48" s="178" t="s">
        <v>183</v>
      </c>
      <c r="R48" s="178" t="s">
        <v>184</v>
      </c>
      <c r="S48" s="178" t="s">
        <v>185</v>
      </c>
      <c r="T48" s="171" t="s">
        <v>9</v>
      </c>
      <c r="U48" s="371" t="s">
        <v>222</v>
      </c>
      <c r="V48" s="178" t="s">
        <v>636</v>
      </c>
    </row>
    <row r="49" spans="1:22" ht="29.45" customHeight="1" x14ac:dyDescent="0.3">
      <c r="A49" s="399"/>
      <c r="B49" s="399"/>
      <c r="C49" s="45" t="s">
        <v>223</v>
      </c>
      <c r="D49" s="45" t="s">
        <v>224</v>
      </c>
      <c r="E49" s="44" t="s">
        <v>205</v>
      </c>
      <c r="F49" s="44" t="s">
        <v>206</v>
      </c>
      <c r="G49" s="41">
        <v>1</v>
      </c>
      <c r="H49" s="42">
        <v>80000</v>
      </c>
      <c r="I49" s="43">
        <f t="shared" si="2"/>
        <v>80000</v>
      </c>
      <c r="J49" s="176">
        <f t="shared" si="1"/>
        <v>2666.6666666666665</v>
      </c>
      <c r="K49" s="46" t="s">
        <v>4</v>
      </c>
      <c r="L49" s="176">
        <f>I49</f>
        <v>80000</v>
      </c>
      <c r="M49" s="46"/>
      <c r="N49" s="46"/>
      <c r="O49" s="157"/>
      <c r="P49" s="157">
        <v>5400</v>
      </c>
      <c r="Q49" s="157" t="s">
        <v>82</v>
      </c>
      <c r="R49" s="157" t="s">
        <v>83</v>
      </c>
      <c r="S49" s="157" t="s">
        <v>84</v>
      </c>
      <c r="T49" s="157" t="s">
        <v>9</v>
      </c>
      <c r="U49" s="377" t="s">
        <v>225</v>
      </c>
      <c r="V49" s="157" t="s">
        <v>637</v>
      </c>
    </row>
    <row r="50" spans="1:22" ht="25.15" customHeight="1" x14ac:dyDescent="0.3">
      <c r="A50" s="399"/>
      <c r="B50" s="399"/>
      <c r="C50" s="45" t="s">
        <v>226</v>
      </c>
      <c r="D50" s="45" t="s">
        <v>227</v>
      </c>
      <c r="E50" s="44" t="s">
        <v>181</v>
      </c>
      <c r="F50" s="44" t="s">
        <v>206</v>
      </c>
      <c r="G50" s="41">
        <v>1</v>
      </c>
      <c r="H50" s="42">
        <v>189300</v>
      </c>
      <c r="I50" s="43">
        <f t="shared" si="2"/>
        <v>189300</v>
      </c>
      <c r="J50" s="176">
        <f t="shared" si="1"/>
        <v>6310</v>
      </c>
      <c r="K50" s="46" t="s">
        <v>5</v>
      </c>
      <c r="L50" s="46"/>
      <c r="M50" s="176">
        <f>I50</f>
        <v>189300</v>
      </c>
      <c r="N50" s="46"/>
      <c r="O50" s="157"/>
      <c r="P50" s="157">
        <v>5400</v>
      </c>
      <c r="Q50" s="157" t="s">
        <v>82</v>
      </c>
      <c r="R50" s="157" t="s">
        <v>83</v>
      </c>
      <c r="S50" s="157" t="s">
        <v>84</v>
      </c>
      <c r="T50" s="157" t="s">
        <v>9</v>
      </c>
      <c r="U50" s="377" t="s">
        <v>228</v>
      </c>
      <c r="V50" s="157" t="s">
        <v>637</v>
      </c>
    </row>
    <row r="51" spans="1:22" ht="25.9" customHeight="1" x14ac:dyDescent="0.3">
      <c r="A51" s="399"/>
      <c r="B51" s="399"/>
      <c r="C51" s="45" t="s">
        <v>229</v>
      </c>
      <c r="D51" s="45" t="s">
        <v>230</v>
      </c>
      <c r="E51" s="44" t="s">
        <v>181</v>
      </c>
      <c r="F51" s="44" t="s">
        <v>206</v>
      </c>
      <c r="G51" s="41">
        <v>4</v>
      </c>
      <c r="H51" s="42">
        <v>87000</v>
      </c>
      <c r="I51" s="43">
        <f t="shared" si="2"/>
        <v>348000</v>
      </c>
      <c r="J51" s="43">
        <f t="shared" si="1"/>
        <v>11600</v>
      </c>
      <c r="K51" s="41" t="s">
        <v>81</v>
      </c>
      <c r="L51" s="42">
        <f>I51/4</f>
        <v>87000</v>
      </c>
      <c r="M51" s="42">
        <v>87000</v>
      </c>
      <c r="N51" s="42">
        <v>87000</v>
      </c>
      <c r="O51" s="172">
        <v>87000</v>
      </c>
      <c r="P51" s="389">
        <v>5400</v>
      </c>
      <c r="Q51" s="172" t="s">
        <v>82</v>
      </c>
      <c r="R51" s="172" t="s">
        <v>83</v>
      </c>
      <c r="S51" s="172" t="s">
        <v>84</v>
      </c>
      <c r="T51" s="172" t="s">
        <v>9</v>
      </c>
      <c r="U51" s="372" t="s">
        <v>231</v>
      </c>
      <c r="V51" s="172" t="s">
        <v>637</v>
      </c>
    </row>
    <row r="52" spans="1:22" ht="29.45" customHeight="1" thickBot="1" x14ac:dyDescent="0.35">
      <c r="A52" s="401"/>
      <c r="B52" s="401"/>
      <c r="C52" s="50" t="s">
        <v>232</v>
      </c>
      <c r="D52" s="50" t="s">
        <v>233</v>
      </c>
      <c r="E52" s="49" t="s">
        <v>181</v>
      </c>
      <c r="F52" s="49" t="s">
        <v>206</v>
      </c>
      <c r="G52" s="41">
        <v>2</v>
      </c>
      <c r="H52" s="42">
        <v>50000</v>
      </c>
      <c r="I52" s="43">
        <f t="shared" si="2"/>
        <v>100000</v>
      </c>
      <c r="J52" s="176">
        <f t="shared" si="1"/>
        <v>3333.3333333333335</v>
      </c>
      <c r="K52" s="46" t="s">
        <v>234</v>
      </c>
      <c r="L52" s="46"/>
      <c r="M52" s="177">
        <f>I52/2</f>
        <v>50000</v>
      </c>
      <c r="N52" s="177">
        <v>50000</v>
      </c>
      <c r="O52" s="157"/>
      <c r="P52" s="157">
        <v>5100</v>
      </c>
      <c r="Q52" s="157" t="s">
        <v>58</v>
      </c>
      <c r="R52" s="157" t="s">
        <v>76</v>
      </c>
      <c r="S52" s="157" t="s">
        <v>622</v>
      </c>
      <c r="T52" s="157" t="s">
        <v>9</v>
      </c>
      <c r="U52" s="377" t="s">
        <v>235</v>
      </c>
      <c r="V52" s="157" t="s">
        <v>638</v>
      </c>
    </row>
    <row r="53" spans="1:22" ht="14.45" customHeight="1" thickBot="1" x14ac:dyDescent="0.35">
      <c r="A53" s="269"/>
      <c r="B53" s="266"/>
      <c r="C53" s="60" t="s">
        <v>236</v>
      </c>
      <c r="D53" s="27"/>
      <c r="E53" s="61"/>
      <c r="F53" s="62"/>
      <c r="G53" s="18"/>
      <c r="H53" s="19"/>
      <c r="I53" s="20"/>
      <c r="J53" s="20">
        <f t="shared" si="1"/>
        <v>0</v>
      </c>
      <c r="K53" s="18"/>
      <c r="L53" s="18"/>
      <c r="M53" s="18"/>
      <c r="N53" s="18"/>
      <c r="O53" s="96"/>
      <c r="P53" s="96">
        <v>5700</v>
      </c>
      <c r="Q53" s="96" t="s">
        <v>237</v>
      </c>
      <c r="R53" s="96" t="s">
        <v>238</v>
      </c>
      <c r="S53" s="96" t="s">
        <v>239</v>
      </c>
      <c r="T53" s="96" t="s">
        <v>9</v>
      </c>
      <c r="U53" s="364" t="s">
        <v>240</v>
      </c>
      <c r="V53" s="96" t="s">
        <v>641</v>
      </c>
    </row>
    <row r="54" spans="1:22" ht="14.45" customHeight="1" x14ac:dyDescent="0.3">
      <c r="A54" s="268" t="s">
        <v>13</v>
      </c>
      <c r="B54" s="265" t="s">
        <v>640</v>
      </c>
      <c r="C54" s="21" t="s">
        <v>242</v>
      </c>
      <c r="D54" s="21" t="s">
        <v>243</v>
      </c>
      <c r="E54" s="52" t="s">
        <v>244</v>
      </c>
      <c r="F54" s="18" t="s">
        <v>114</v>
      </c>
      <c r="G54" s="18">
        <v>12</v>
      </c>
      <c r="H54" s="19">
        <v>25000</v>
      </c>
      <c r="I54" s="20">
        <f>G54*H54</f>
        <v>300000</v>
      </c>
      <c r="J54" s="20">
        <f t="shared" si="1"/>
        <v>10000</v>
      </c>
      <c r="K54" s="18" t="s">
        <v>245</v>
      </c>
      <c r="L54" s="20">
        <v>50000</v>
      </c>
      <c r="M54" s="19">
        <f>75000+12500</f>
        <v>87500</v>
      </c>
      <c r="N54" s="19">
        <v>87500</v>
      </c>
      <c r="O54" s="169">
        <v>75000</v>
      </c>
      <c r="P54" s="385">
        <v>5700</v>
      </c>
      <c r="Q54" s="169" t="s">
        <v>237</v>
      </c>
      <c r="R54" s="169" t="s">
        <v>238</v>
      </c>
      <c r="S54" s="169" t="s">
        <v>239</v>
      </c>
      <c r="T54" s="169" t="s">
        <v>9</v>
      </c>
      <c r="U54" s="366" t="s">
        <v>246</v>
      </c>
      <c r="V54" s="96" t="s">
        <v>641</v>
      </c>
    </row>
    <row r="55" spans="1:22" ht="14.45" customHeight="1" x14ac:dyDescent="0.3">
      <c r="A55" s="269"/>
      <c r="B55" s="266"/>
      <c r="C55" s="21" t="s">
        <v>247</v>
      </c>
      <c r="D55" s="26" t="s">
        <v>248</v>
      </c>
      <c r="E55" s="52" t="s">
        <v>236</v>
      </c>
      <c r="F55" s="18" t="s">
        <v>114</v>
      </c>
      <c r="G55" s="18">
        <v>1</v>
      </c>
      <c r="H55" s="19">
        <v>40000</v>
      </c>
      <c r="I55" s="20">
        <f>G55*H55</f>
        <v>40000</v>
      </c>
      <c r="J55" s="20">
        <f t="shared" si="1"/>
        <v>1333.3333333333333</v>
      </c>
      <c r="K55" s="18" t="s">
        <v>249</v>
      </c>
      <c r="L55" s="20">
        <f>I55/2</f>
        <v>20000</v>
      </c>
      <c r="M55" s="19">
        <v>20000</v>
      </c>
      <c r="N55" s="18"/>
      <c r="O55" s="96"/>
      <c r="P55" s="96">
        <v>5700</v>
      </c>
      <c r="Q55" s="96" t="s">
        <v>237</v>
      </c>
      <c r="R55" s="96" t="s">
        <v>238</v>
      </c>
      <c r="S55" s="96" t="s">
        <v>239</v>
      </c>
      <c r="T55" s="96" t="s">
        <v>9</v>
      </c>
      <c r="U55" s="364" t="s">
        <v>250</v>
      </c>
      <c r="V55" s="96" t="s">
        <v>641</v>
      </c>
    </row>
    <row r="56" spans="1:22" ht="14.45" customHeight="1" x14ac:dyDescent="0.3">
      <c r="A56" s="269"/>
      <c r="B56" s="266"/>
      <c r="C56" s="21" t="s">
        <v>251</v>
      </c>
      <c r="D56" s="21" t="s">
        <v>252</v>
      </c>
      <c r="E56" s="52" t="s">
        <v>236</v>
      </c>
      <c r="F56" s="18" t="s">
        <v>114</v>
      </c>
      <c r="G56" s="18">
        <v>11</v>
      </c>
      <c r="H56" s="19">
        <v>25000</v>
      </c>
      <c r="I56" s="20">
        <f>G56*H56</f>
        <v>275000</v>
      </c>
      <c r="J56" s="20">
        <f t="shared" si="1"/>
        <v>9166.6666666666661</v>
      </c>
      <c r="K56" s="18" t="s">
        <v>129</v>
      </c>
      <c r="L56" s="18"/>
      <c r="M56" s="20">
        <f>I56/3</f>
        <v>91666.666666666672</v>
      </c>
      <c r="N56" s="19">
        <v>91666.666666666672</v>
      </c>
      <c r="O56" s="169">
        <v>91666.666666666672</v>
      </c>
      <c r="P56" s="385">
        <v>5700</v>
      </c>
      <c r="Q56" s="169" t="s">
        <v>237</v>
      </c>
      <c r="R56" s="169" t="s">
        <v>238</v>
      </c>
      <c r="S56" s="169" t="s">
        <v>239</v>
      </c>
      <c r="T56" s="169" t="s">
        <v>9</v>
      </c>
      <c r="U56" s="366" t="s">
        <v>253</v>
      </c>
      <c r="V56" s="96" t="s">
        <v>641</v>
      </c>
    </row>
    <row r="57" spans="1:22" ht="14.45" customHeight="1" x14ac:dyDescent="0.3">
      <c r="A57" s="269"/>
      <c r="B57" s="266"/>
      <c r="C57" s="63" t="s">
        <v>254</v>
      </c>
      <c r="D57" s="21"/>
      <c r="E57" s="52"/>
      <c r="F57" s="18"/>
      <c r="G57" s="18"/>
      <c r="H57" s="19"/>
      <c r="I57" s="20"/>
      <c r="J57" s="20">
        <f t="shared" si="1"/>
        <v>0</v>
      </c>
      <c r="K57" s="18"/>
      <c r="L57" s="18"/>
      <c r="M57" s="18"/>
      <c r="N57" s="18"/>
      <c r="O57" s="96"/>
      <c r="P57" s="96">
        <v>5700</v>
      </c>
      <c r="Q57" s="96" t="s">
        <v>237</v>
      </c>
      <c r="R57" s="96" t="s">
        <v>238</v>
      </c>
      <c r="S57" s="96" t="s">
        <v>239</v>
      </c>
      <c r="T57" s="96" t="s">
        <v>9</v>
      </c>
      <c r="U57" s="364" t="s">
        <v>255</v>
      </c>
      <c r="V57" s="96" t="s">
        <v>641</v>
      </c>
    </row>
    <row r="58" spans="1:22" ht="14.45" customHeight="1" x14ac:dyDescent="0.3">
      <c r="A58" s="269"/>
      <c r="B58" s="266"/>
      <c r="C58" s="21" t="s">
        <v>256</v>
      </c>
      <c r="D58" s="21" t="s">
        <v>257</v>
      </c>
      <c r="E58" s="52" t="s">
        <v>258</v>
      </c>
      <c r="F58" s="18" t="s">
        <v>149</v>
      </c>
      <c r="G58" s="18">
        <v>12</v>
      </c>
      <c r="H58" s="19">
        <v>646184</v>
      </c>
      <c r="I58" s="20">
        <f>(G58*H58)-516947.2</f>
        <v>7237260.7999999998</v>
      </c>
      <c r="J58" s="20">
        <f t="shared" si="1"/>
        <v>241242.02666666667</v>
      </c>
      <c r="K58" s="18" t="s">
        <v>245</v>
      </c>
      <c r="L58" s="309">
        <v>1421604.8</v>
      </c>
      <c r="M58" s="19">
        <v>1938552</v>
      </c>
      <c r="N58" s="19">
        <v>1938552</v>
      </c>
      <c r="O58" s="169">
        <v>1938552</v>
      </c>
      <c r="P58" s="385">
        <v>5700</v>
      </c>
      <c r="Q58" s="169" t="s">
        <v>237</v>
      </c>
      <c r="R58" s="169" t="s">
        <v>238</v>
      </c>
      <c r="S58" s="169" t="s">
        <v>239</v>
      </c>
      <c r="T58" s="169" t="s">
        <v>9</v>
      </c>
      <c r="U58" s="366" t="s">
        <v>259</v>
      </c>
      <c r="V58" s="96" t="s">
        <v>641</v>
      </c>
    </row>
    <row r="59" spans="1:22" ht="14.45" customHeight="1" x14ac:dyDescent="0.3">
      <c r="A59" s="269"/>
      <c r="B59" s="266"/>
      <c r="C59" s="21" t="s">
        <v>260</v>
      </c>
      <c r="D59" s="21" t="s">
        <v>254</v>
      </c>
      <c r="E59" s="52" t="s">
        <v>258</v>
      </c>
      <c r="F59" s="18" t="s">
        <v>114</v>
      </c>
      <c r="G59" s="18">
        <v>1</v>
      </c>
      <c r="H59" s="19">
        <v>750000</v>
      </c>
      <c r="I59" s="20">
        <f t="shared" ref="I59:I65" si="3">G59*H59</f>
        <v>750000</v>
      </c>
      <c r="J59" s="20">
        <f t="shared" si="1"/>
        <v>25000</v>
      </c>
      <c r="K59" s="18" t="s">
        <v>261</v>
      </c>
      <c r="L59" s="20">
        <f>I59/4</f>
        <v>187500</v>
      </c>
      <c r="M59" s="19">
        <v>187500</v>
      </c>
      <c r="N59" s="19">
        <v>187500</v>
      </c>
      <c r="O59" s="169">
        <v>187500</v>
      </c>
      <c r="P59" s="385">
        <v>5700</v>
      </c>
      <c r="Q59" s="169" t="s">
        <v>237</v>
      </c>
      <c r="R59" s="169" t="s">
        <v>238</v>
      </c>
      <c r="S59" s="169" t="s">
        <v>239</v>
      </c>
      <c r="T59" s="169" t="s">
        <v>9</v>
      </c>
      <c r="U59" s="366" t="s">
        <v>262</v>
      </c>
      <c r="V59" s="96" t="s">
        <v>641</v>
      </c>
    </row>
    <row r="60" spans="1:22" ht="14.45" customHeight="1" x14ac:dyDescent="0.3">
      <c r="A60" s="269"/>
      <c r="B60" s="266"/>
      <c r="C60" s="63" t="s">
        <v>263</v>
      </c>
      <c r="D60" s="21" t="s">
        <v>264</v>
      </c>
      <c r="E60" s="52" t="s">
        <v>258</v>
      </c>
      <c r="F60" s="18" t="s">
        <v>149</v>
      </c>
      <c r="G60" s="18">
        <v>12</v>
      </c>
      <c r="H60" s="19">
        <v>110733.5</v>
      </c>
      <c r="I60" s="20">
        <f t="shared" si="3"/>
        <v>1328802</v>
      </c>
      <c r="J60" s="20">
        <f t="shared" si="1"/>
        <v>44293.4</v>
      </c>
      <c r="K60" s="18" t="s">
        <v>245</v>
      </c>
      <c r="L60" s="20">
        <f>I60/4</f>
        <v>332200.5</v>
      </c>
      <c r="M60" s="19">
        <v>332200.5</v>
      </c>
      <c r="N60" s="19">
        <v>332200.5</v>
      </c>
      <c r="O60" s="169">
        <v>332200.5</v>
      </c>
      <c r="P60" s="385">
        <v>5800</v>
      </c>
      <c r="Q60" s="169" t="s">
        <v>75</v>
      </c>
      <c r="R60" s="169" t="s">
        <v>76</v>
      </c>
      <c r="S60" s="169" t="s">
        <v>77</v>
      </c>
      <c r="T60" s="169" t="s">
        <v>9</v>
      </c>
      <c r="U60" s="366" t="s">
        <v>265</v>
      </c>
      <c r="V60" s="96" t="s">
        <v>641</v>
      </c>
    </row>
    <row r="61" spans="1:22" ht="14.45" customHeight="1" x14ac:dyDescent="0.3">
      <c r="A61" s="269"/>
      <c r="B61" s="266"/>
      <c r="C61" s="63" t="s">
        <v>266</v>
      </c>
      <c r="D61" s="21"/>
      <c r="E61" s="52"/>
      <c r="F61" s="18"/>
      <c r="G61" s="18"/>
      <c r="H61" s="19"/>
      <c r="I61" s="20">
        <f t="shared" si="3"/>
        <v>0</v>
      </c>
      <c r="J61" s="20">
        <f t="shared" si="1"/>
        <v>0</v>
      </c>
      <c r="K61" s="18"/>
      <c r="L61" s="18"/>
      <c r="M61" s="18"/>
      <c r="N61" s="18"/>
      <c r="O61" s="96"/>
      <c r="P61" s="96">
        <v>6000</v>
      </c>
      <c r="Q61" s="96" t="s">
        <v>267</v>
      </c>
      <c r="R61" s="96" t="s">
        <v>268</v>
      </c>
      <c r="S61" s="96" t="s">
        <v>269</v>
      </c>
      <c r="T61" s="96" t="s">
        <v>9</v>
      </c>
      <c r="U61" s="364" t="s">
        <v>270</v>
      </c>
      <c r="V61" s="96" t="s">
        <v>641</v>
      </c>
    </row>
    <row r="62" spans="1:22" ht="14.45" customHeight="1" x14ac:dyDescent="0.3">
      <c r="A62" s="269"/>
      <c r="B62" s="266"/>
      <c r="C62" s="21" t="s">
        <v>271</v>
      </c>
      <c r="D62" s="21" t="s">
        <v>272</v>
      </c>
      <c r="E62" s="52" t="s">
        <v>273</v>
      </c>
      <c r="F62" s="18" t="s">
        <v>274</v>
      </c>
      <c r="G62" s="18">
        <v>1</v>
      </c>
      <c r="H62" s="19">
        <v>10000</v>
      </c>
      <c r="I62" s="20">
        <f t="shared" si="3"/>
        <v>10000</v>
      </c>
      <c r="J62" s="20">
        <f t="shared" si="1"/>
        <v>333.33333333333331</v>
      </c>
      <c r="K62" s="18" t="s">
        <v>4</v>
      </c>
      <c r="L62" s="20">
        <f>I62</f>
        <v>10000</v>
      </c>
      <c r="M62" s="18"/>
      <c r="N62" s="18"/>
      <c r="O62" s="96"/>
      <c r="P62" s="96">
        <v>5800</v>
      </c>
      <c r="Q62" s="96" t="s">
        <v>75</v>
      </c>
      <c r="R62" s="96" t="s">
        <v>76</v>
      </c>
      <c r="S62" s="96" t="s">
        <v>77</v>
      </c>
      <c r="T62" s="96" t="s">
        <v>9</v>
      </c>
      <c r="U62" s="364" t="s">
        <v>275</v>
      </c>
      <c r="V62" s="96" t="s">
        <v>641</v>
      </c>
    </row>
    <row r="63" spans="1:22" ht="14.45" customHeight="1" x14ac:dyDescent="0.3">
      <c r="A63" s="269"/>
      <c r="B63" s="266"/>
      <c r="C63" s="21" t="s">
        <v>276</v>
      </c>
      <c r="D63" s="21" t="s">
        <v>277</v>
      </c>
      <c r="E63" s="52" t="s">
        <v>273</v>
      </c>
      <c r="F63" s="18" t="s">
        <v>274</v>
      </c>
      <c r="G63" s="18">
        <v>1</v>
      </c>
      <c r="H63" s="19">
        <v>70000</v>
      </c>
      <c r="I63" s="20">
        <f t="shared" si="3"/>
        <v>70000</v>
      </c>
      <c r="J63" s="20">
        <f t="shared" si="1"/>
        <v>2333.3333333333335</v>
      </c>
      <c r="K63" s="18" t="s">
        <v>4</v>
      </c>
      <c r="L63" s="20">
        <f>I63</f>
        <v>70000</v>
      </c>
      <c r="M63" s="18"/>
      <c r="N63" s="18"/>
      <c r="O63" s="96"/>
      <c r="P63" s="96">
        <v>5300</v>
      </c>
      <c r="Q63" s="96" t="s">
        <v>183</v>
      </c>
      <c r="R63" s="96" t="s">
        <v>184</v>
      </c>
      <c r="S63" s="96" t="s">
        <v>185</v>
      </c>
      <c r="T63" s="96" t="s">
        <v>9</v>
      </c>
      <c r="U63" s="364" t="s">
        <v>278</v>
      </c>
      <c r="V63" s="96" t="s">
        <v>641</v>
      </c>
    </row>
    <row r="64" spans="1:22" ht="14.45" customHeight="1" x14ac:dyDescent="0.3">
      <c r="A64" s="269"/>
      <c r="B64" s="266"/>
      <c r="C64" s="21" t="s">
        <v>279</v>
      </c>
      <c r="D64" s="21" t="s">
        <v>280</v>
      </c>
      <c r="E64" s="52" t="s">
        <v>273</v>
      </c>
      <c r="F64" s="18" t="s">
        <v>281</v>
      </c>
      <c r="G64" s="18">
        <v>1</v>
      </c>
      <c r="H64" s="19">
        <v>220000</v>
      </c>
      <c r="I64" s="20">
        <f t="shared" si="3"/>
        <v>220000</v>
      </c>
      <c r="J64" s="20">
        <f t="shared" si="1"/>
        <v>7333.333333333333</v>
      </c>
      <c r="K64" s="18" t="s">
        <v>150</v>
      </c>
      <c r="L64" s="19">
        <f>I64/2</f>
        <v>110000</v>
      </c>
      <c r="M64" s="19">
        <v>110000</v>
      </c>
      <c r="N64" s="18"/>
      <c r="O64" s="96"/>
      <c r="P64" s="96">
        <v>5800</v>
      </c>
      <c r="Q64" s="96" t="s">
        <v>75</v>
      </c>
      <c r="R64" s="96" t="s">
        <v>76</v>
      </c>
      <c r="S64" s="96" t="s">
        <v>77</v>
      </c>
      <c r="T64" s="96" t="s">
        <v>9</v>
      </c>
      <c r="U64" s="364" t="s">
        <v>282</v>
      </c>
      <c r="V64" s="96" t="s">
        <v>641</v>
      </c>
    </row>
    <row r="65" spans="1:22" ht="15" customHeight="1" thickBot="1" x14ac:dyDescent="0.35">
      <c r="A65" s="270"/>
      <c r="B65" s="267"/>
      <c r="C65" s="59" t="s">
        <v>283</v>
      </c>
      <c r="D65" s="21" t="s">
        <v>284</v>
      </c>
      <c r="E65" s="52" t="s">
        <v>273</v>
      </c>
      <c r="F65" s="18" t="s">
        <v>274</v>
      </c>
      <c r="G65" s="18">
        <v>11</v>
      </c>
      <c r="H65" s="19">
        <v>30000</v>
      </c>
      <c r="I65" s="20">
        <f t="shared" si="3"/>
        <v>330000</v>
      </c>
      <c r="J65" s="20">
        <f t="shared" si="1"/>
        <v>11000</v>
      </c>
      <c r="K65" s="18" t="s">
        <v>4</v>
      </c>
      <c r="L65" s="20">
        <f>I65</f>
        <v>330000</v>
      </c>
      <c r="M65" s="18"/>
      <c r="N65" s="18"/>
      <c r="O65" s="96"/>
      <c r="P65" s="96">
        <v>5800</v>
      </c>
      <c r="Q65" s="96" t="s">
        <v>75</v>
      </c>
      <c r="R65" s="96" t="s">
        <v>76</v>
      </c>
      <c r="S65" s="96" t="s">
        <v>77</v>
      </c>
      <c r="T65" s="96" t="s">
        <v>9</v>
      </c>
      <c r="U65" s="364" t="s">
        <v>285</v>
      </c>
      <c r="V65" s="96" t="s">
        <v>641</v>
      </c>
    </row>
    <row r="66" spans="1:22" s="11" customFormat="1" ht="25.15" customHeight="1" thickBot="1" x14ac:dyDescent="0.35">
      <c r="A66" s="136" t="s">
        <v>286</v>
      </c>
      <c r="B66" s="158"/>
      <c r="C66" s="138"/>
      <c r="D66" s="138"/>
      <c r="E66" s="159"/>
      <c r="F66" s="159"/>
      <c r="G66" s="159"/>
      <c r="H66" s="160"/>
      <c r="I66" s="161">
        <f>SUM(I7:I65)</f>
        <v>60662504.880000003</v>
      </c>
      <c r="J66" s="161">
        <f>SUM(J7:J65)</f>
        <v>2022083.4959999998</v>
      </c>
      <c r="K66" s="161"/>
      <c r="L66" s="161">
        <f>SUM(L7:L65)</f>
        <v>21730967.795000002</v>
      </c>
      <c r="M66" s="161">
        <f>SUM(M7:M65)</f>
        <v>9688562.495000001</v>
      </c>
      <c r="N66" s="161">
        <f>SUM(N7:N65)</f>
        <v>13905027.839999998</v>
      </c>
      <c r="O66" s="161">
        <f>SUM(O7:O65)</f>
        <v>15337946.749999998</v>
      </c>
      <c r="P66" s="159">
        <v>5800</v>
      </c>
      <c r="Q66" s="161" t="s">
        <v>75</v>
      </c>
      <c r="R66" s="161" t="s">
        <v>76</v>
      </c>
      <c r="S66" s="161" t="s">
        <v>77</v>
      </c>
      <c r="T66" s="161" t="s">
        <v>9</v>
      </c>
      <c r="U66" s="383"/>
      <c r="V66" s="161"/>
    </row>
    <row r="67" spans="1:22" x14ac:dyDescent="0.3">
      <c r="I67" s="290"/>
      <c r="O67" s="8"/>
    </row>
    <row r="68" spans="1:22" x14ac:dyDescent="0.3">
      <c r="I68" s="8"/>
      <c r="O68" s="8"/>
    </row>
    <row r="69" spans="1:22" x14ac:dyDescent="0.3">
      <c r="I69" s="8"/>
    </row>
    <row r="70" spans="1:22" x14ac:dyDescent="0.3">
      <c r="E70" s="8"/>
      <c r="K70" s="264"/>
    </row>
    <row r="71" spans="1:22" ht="16.5" customHeight="1" x14ac:dyDescent="0.3"/>
    <row r="72" spans="1:22" ht="16.5" customHeight="1" x14ac:dyDescent="0.3"/>
  </sheetData>
  <mergeCells count="18">
    <mergeCell ref="A43:A52"/>
    <mergeCell ref="B11:B15"/>
    <mergeCell ref="B38:B42"/>
    <mergeCell ref="B43:B52"/>
    <mergeCell ref="E11:E15"/>
    <mergeCell ref="B19:B31"/>
    <mergeCell ref="A11:A15"/>
    <mergeCell ref="E16:E17"/>
    <mergeCell ref="E19:E28"/>
    <mergeCell ref="A38:A40"/>
    <mergeCell ref="D34:D35"/>
    <mergeCell ref="A19:A31"/>
    <mergeCell ref="A16:A17"/>
    <mergeCell ref="B16:B17"/>
    <mergeCell ref="E7:E10"/>
    <mergeCell ref="E30:E31"/>
    <mergeCell ref="A7:A10"/>
    <mergeCell ref="B7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showGridLines="0" workbookViewId="0">
      <pane xSplit="3" ySplit="6" topLeftCell="D32" activePane="bottomRight" state="frozen"/>
      <selection pane="topRight" activeCell="D1" sqref="D1"/>
      <selection pane="bottomLeft" activeCell="A3" sqref="A3"/>
      <selection pane="bottomRight" activeCell="C36" sqref="C36"/>
    </sheetView>
  </sheetViews>
  <sheetFormatPr defaultColWidth="8.85546875" defaultRowHeight="16.5" x14ac:dyDescent="0.3"/>
  <cols>
    <col min="1" max="1" width="23.7109375" style="6" customWidth="1"/>
    <col min="2" max="2" width="32.7109375" style="6" customWidth="1"/>
    <col min="3" max="3" width="60.7109375" style="6" customWidth="1"/>
    <col min="4" max="4" width="36.140625" style="6" customWidth="1"/>
    <col min="5" max="5" width="36.5703125" style="6" customWidth="1"/>
    <col min="6" max="6" width="24.28515625" style="147" customWidth="1"/>
    <col min="7" max="7" width="11.85546875" style="6" customWidth="1"/>
    <col min="8" max="8" width="14" style="7" customWidth="1"/>
    <col min="9" max="10" width="17.140625" style="6" customWidth="1"/>
    <col min="11" max="11" width="18.85546875" style="69" customWidth="1"/>
    <col min="12" max="14" width="16.85546875" style="69" customWidth="1"/>
    <col min="15" max="15" width="16.28515625" style="6" customWidth="1"/>
    <col min="16" max="16" width="41.85546875" style="6" bestFit="1" customWidth="1"/>
    <col min="17" max="17" width="27" style="6" customWidth="1"/>
    <col min="18" max="18" width="47.85546875" style="6" customWidth="1"/>
    <col min="19" max="19" width="21.140625" style="6" customWidth="1"/>
    <col min="20" max="20" width="255.7109375" style="6" customWidth="1"/>
    <col min="21" max="21" width="17" style="6" customWidth="1"/>
    <col min="22" max="16384" width="8.85546875" style="6"/>
  </cols>
  <sheetData>
    <row r="1" spans="1:21" ht="16.149999999999999" customHeight="1" x14ac:dyDescent="0.3">
      <c r="A1" s="127"/>
      <c r="B1" s="126"/>
      <c r="C1" s="126"/>
      <c r="D1" s="126"/>
      <c r="E1" s="125"/>
    </row>
    <row r="2" spans="1:21" s="5" customFormat="1" ht="18" customHeight="1" x14ac:dyDescent="0.35">
      <c r="A2" s="195" t="s">
        <v>0</v>
      </c>
      <c r="B2" s="128"/>
      <c r="C2" s="128"/>
      <c r="D2" s="128"/>
      <c r="E2" s="128"/>
      <c r="F2" s="191"/>
      <c r="H2" s="167"/>
      <c r="K2" s="192"/>
      <c r="L2" s="192"/>
      <c r="M2" s="192"/>
      <c r="N2" s="192"/>
    </row>
    <row r="3" spans="1:21" s="5" customFormat="1" ht="16.149999999999999" customHeight="1" x14ac:dyDescent="0.35">
      <c r="A3" s="128" t="s">
        <v>287</v>
      </c>
      <c r="B3" s="193"/>
      <c r="C3" s="129"/>
      <c r="D3" s="194"/>
      <c r="E3" s="194"/>
      <c r="F3" s="191"/>
      <c r="H3" s="167"/>
      <c r="K3" s="192"/>
      <c r="L3" s="192"/>
      <c r="M3" s="192"/>
      <c r="N3" s="192"/>
    </row>
    <row r="4" spans="1:21" s="5" customFormat="1" ht="16.149999999999999" customHeight="1" x14ac:dyDescent="0.35">
      <c r="A4" s="129" t="s">
        <v>288</v>
      </c>
      <c r="B4" s="129"/>
      <c r="C4" s="129"/>
      <c r="D4" s="129"/>
      <c r="E4" s="129"/>
      <c r="F4" s="191"/>
      <c r="H4" s="167"/>
      <c r="K4" s="192"/>
      <c r="L4" s="192"/>
      <c r="M4" s="192"/>
      <c r="N4" s="192"/>
    </row>
    <row r="5" spans="1:21" s="5" customFormat="1" ht="16.899999999999999" customHeight="1" thickBot="1" x14ac:dyDescent="0.4">
      <c r="A5" s="129" t="s">
        <v>289</v>
      </c>
      <c r="F5" s="191"/>
      <c r="H5" s="167"/>
      <c r="K5" s="192"/>
      <c r="L5" s="421" t="s">
        <v>290</v>
      </c>
      <c r="M5" s="422"/>
      <c r="N5" s="422"/>
    </row>
    <row r="6" spans="1:21" s="5" customFormat="1" ht="28.15" customHeight="1" thickBot="1" x14ac:dyDescent="0.4">
      <c r="A6" s="1" t="s">
        <v>31</v>
      </c>
      <c r="B6" s="73" t="s">
        <v>32</v>
      </c>
      <c r="C6" s="72" t="s">
        <v>33</v>
      </c>
      <c r="D6" s="73" t="s">
        <v>34</v>
      </c>
      <c r="E6" s="73" t="s">
        <v>35</v>
      </c>
      <c r="F6" s="148" t="s">
        <v>36</v>
      </c>
      <c r="G6" s="73" t="s">
        <v>37</v>
      </c>
      <c r="H6" s="74" t="s">
        <v>38</v>
      </c>
      <c r="I6" s="74" t="s">
        <v>39</v>
      </c>
      <c r="J6" s="74" t="s">
        <v>291</v>
      </c>
      <c r="K6" s="73" t="s">
        <v>41</v>
      </c>
      <c r="L6" s="73" t="s">
        <v>42</v>
      </c>
      <c r="M6" s="73" t="s">
        <v>43</v>
      </c>
      <c r="N6" s="75" t="s">
        <v>44</v>
      </c>
      <c r="O6" s="72" t="s">
        <v>46</v>
      </c>
      <c r="P6" s="72" t="s">
        <v>47</v>
      </c>
      <c r="Q6" s="72" t="s">
        <v>48</v>
      </c>
      <c r="R6" s="72" t="s">
        <v>49</v>
      </c>
      <c r="S6" s="72" t="s">
        <v>2</v>
      </c>
      <c r="T6" s="72" t="s">
        <v>50</v>
      </c>
      <c r="U6" s="72" t="s">
        <v>51</v>
      </c>
    </row>
    <row r="7" spans="1:21" ht="43.15" customHeight="1" thickBot="1" x14ac:dyDescent="0.35">
      <c r="A7" s="71" t="s">
        <v>292</v>
      </c>
      <c r="B7" s="122" t="s">
        <v>293</v>
      </c>
      <c r="C7" s="105" t="s">
        <v>294</v>
      </c>
      <c r="D7" s="90" t="s">
        <v>295</v>
      </c>
      <c r="E7" s="91" t="s">
        <v>296</v>
      </c>
      <c r="F7" s="149" t="s">
        <v>297</v>
      </c>
      <c r="G7" s="93">
        <v>3</v>
      </c>
      <c r="H7" s="94">
        <v>33757</v>
      </c>
      <c r="I7" s="95">
        <f t="shared" ref="I7:I38" si="0">G7*H7</f>
        <v>101271</v>
      </c>
      <c r="J7" s="95">
        <f t="shared" ref="J7:J38" si="1">I7/25</f>
        <v>4050.84</v>
      </c>
      <c r="K7" s="92" t="s">
        <v>4</v>
      </c>
      <c r="L7" s="120">
        <f t="shared" ref="L7:L18" si="2">I7</f>
        <v>101271</v>
      </c>
      <c r="M7" s="120"/>
      <c r="N7" s="130"/>
      <c r="O7" s="105" t="s">
        <v>298</v>
      </c>
      <c r="P7" s="105" t="s">
        <v>123</v>
      </c>
      <c r="Q7" s="105" t="s">
        <v>76</v>
      </c>
      <c r="R7" s="105" t="s">
        <v>77</v>
      </c>
      <c r="S7" s="105" t="s">
        <v>299</v>
      </c>
      <c r="T7" s="105" t="s">
        <v>300</v>
      </c>
      <c r="U7" s="105" t="s">
        <v>613</v>
      </c>
    </row>
    <row r="8" spans="1:21" ht="30" customHeight="1" thickBot="1" x14ac:dyDescent="0.35">
      <c r="A8" s="420" t="s">
        <v>292</v>
      </c>
      <c r="B8" s="423" t="s">
        <v>301</v>
      </c>
      <c r="C8" s="106" t="s">
        <v>302</v>
      </c>
      <c r="D8" s="80" t="s">
        <v>303</v>
      </c>
      <c r="E8" s="81" t="s">
        <v>296</v>
      </c>
      <c r="F8" s="83" t="s">
        <v>297</v>
      </c>
      <c r="G8" s="30">
        <v>2</v>
      </c>
      <c r="H8" s="31">
        <v>14034</v>
      </c>
      <c r="I8" s="32">
        <f t="shared" si="0"/>
        <v>28068</v>
      </c>
      <c r="J8" s="32">
        <f t="shared" si="1"/>
        <v>1122.72</v>
      </c>
      <c r="K8" s="67" t="s">
        <v>4</v>
      </c>
      <c r="L8" s="118">
        <f t="shared" si="2"/>
        <v>28068</v>
      </c>
      <c r="M8" s="118"/>
      <c r="N8" s="131"/>
      <c r="O8" s="106" t="s">
        <v>304</v>
      </c>
      <c r="P8" s="106" t="s">
        <v>123</v>
      </c>
      <c r="Q8" s="106" t="s">
        <v>124</v>
      </c>
      <c r="R8" s="106" t="s">
        <v>125</v>
      </c>
      <c r="S8" s="106" t="s">
        <v>299</v>
      </c>
      <c r="T8" s="106" t="s">
        <v>305</v>
      </c>
      <c r="U8" s="106" t="s">
        <v>642</v>
      </c>
    </row>
    <row r="9" spans="1:21" ht="30" customHeight="1" x14ac:dyDescent="0.3">
      <c r="A9" s="418"/>
      <c r="B9" s="399"/>
      <c r="C9" s="107" t="s">
        <v>306</v>
      </c>
      <c r="D9" s="80" t="s">
        <v>303</v>
      </c>
      <c r="E9" s="81" t="s">
        <v>296</v>
      </c>
      <c r="F9" s="83" t="s">
        <v>297</v>
      </c>
      <c r="G9" s="30">
        <v>2</v>
      </c>
      <c r="H9" s="31">
        <v>18094</v>
      </c>
      <c r="I9" s="32">
        <f t="shared" si="0"/>
        <v>36188</v>
      </c>
      <c r="J9" s="32">
        <f t="shared" si="1"/>
        <v>1447.52</v>
      </c>
      <c r="K9" s="67" t="s">
        <v>4</v>
      </c>
      <c r="L9" s="118">
        <f t="shared" si="2"/>
        <v>36188</v>
      </c>
      <c r="M9" s="118"/>
      <c r="N9" s="131"/>
      <c r="O9" s="107" t="s">
        <v>298</v>
      </c>
      <c r="P9" s="107" t="s">
        <v>123</v>
      </c>
      <c r="Q9" s="107" t="s">
        <v>76</v>
      </c>
      <c r="R9" s="107" t="s">
        <v>77</v>
      </c>
      <c r="S9" s="107" t="s">
        <v>299</v>
      </c>
      <c r="T9" s="107" t="s">
        <v>307</v>
      </c>
      <c r="U9" s="107" t="s">
        <v>642</v>
      </c>
    </row>
    <row r="10" spans="1:21" ht="43.15" customHeight="1" x14ac:dyDescent="0.3">
      <c r="A10" s="418"/>
      <c r="B10" s="399"/>
      <c r="C10" s="106" t="s">
        <v>308</v>
      </c>
      <c r="D10" s="80" t="s">
        <v>303</v>
      </c>
      <c r="E10" s="81" t="s">
        <v>296</v>
      </c>
      <c r="F10" s="83" t="s">
        <v>297</v>
      </c>
      <c r="G10" s="30">
        <v>2</v>
      </c>
      <c r="H10" s="31">
        <v>24109</v>
      </c>
      <c r="I10" s="32">
        <f t="shared" si="0"/>
        <v>48218</v>
      </c>
      <c r="J10" s="32">
        <f t="shared" si="1"/>
        <v>1928.72</v>
      </c>
      <c r="K10" s="67" t="s">
        <v>4</v>
      </c>
      <c r="L10" s="118">
        <f t="shared" si="2"/>
        <v>48218</v>
      </c>
      <c r="M10" s="118"/>
      <c r="N10" s="131"/>
      <c r="O10" s="106" t="s">
        <v>304</v>
      </c>
      <c r="P10" s="106" t="s">
        <v>123</v>
      </c>
      <c r="Q10" s="106" t="s">
        <v>124</v>
      </c>
      <c r="R10" s="106" t="s">
        <v>125</v>
      </c>
      <c r="S10" s="106" t="s">
        <v>299</v>
      </c>
      <c r="T10" s="106" t="s">
        <v>309</v>
      </c>
      <c r="U10" s="106" t="s">
        <v>642</v>
      </c>
    </row>
    <row r="11" spans="1:21" ht="33" customHeight="1" x14ac:dyDescent="0.3">
      <c r="A11" s="418"/>
      <c r="B11" s="399"/>
      <c r="C11" s="106" t="s">
        <v>310</v>
      </c>
      <c r="D11" s="80" t="s">
        <v>303</v>
      </c>
      <c r="E11" s="81" t="s">
        <v>296</v>
      </c>
      <c r="F11" s="83" t="s">
        <v>297</v>
      </c>
      <c r="G11" s="30">
        <v>2</v>
      </c>
      <c r="H11" s="31">
        <v>9734</v>
      </c>
      <c r="I11" s="32">
        <f t="shared" si="0"/>
        <v>19468</v>
      </c>
      <c r="J11" s="32">
        <f t="shared" si="1"/>
        <v>778.72</v>
      </c>
      <c r="K11" s="67" t="s">
        <v>4</v>
      </c>
      <c r="L11" s="118">
        <f t="shared" si="2"/>
        <v>19468</v>
      </c>
      <c r="M11" s="118"/>
      <c r="N11" s="131"/>
      <c r="O11" s="106" t="s">
        <v>304</v>
      </c>
      <c r="P11" s="106" t="s">
        <v>123</v>
      </c>
      <c r="Q11" s="106" t="s">
        <v>124</v>
      </c>
      <c r="R11" s="106" t="s">
        <v>125</v>
      </c>
      <c r="S11" s="106" t="s">
        <v>299</v>
      </c>
      <c r="T11" s="106" t="s">
        <v>311</v>
      </c>
      <c r="U11" s="106" t="s">
        <v>642</v>
      </c>
    </row>
    <row r="12" spans="1:21" ht="47.45" customHeight="1" x14ac:dyDescent="0.3">
      <c r="A12" s="418"/>
      <c r="B12" s="399"/>
      <c r="C12" s="108" t="s">
        <v>312</v>
      </c>
      <c r="D12" s="83" t="s">
        <v>313</v>
      </c>
      <c r="E12" s="81" t="s">
        <v>314</v>
      </c>
      <c r="F12" s="83" t="s">
        <v>297</v>
      </c>
      <c r="G12" s="30">
        <v>2</v>
      </c>
      <c r="H12" s="31">
        <v>16694</v>
      </c>
      <c r="I12" s="32">
        <f t="shared" si="0"/>
        <v>33388</v>
      </c>
      <c r="J12" s="32">
        <f t="shared" si="1"/>
        <v>1335.52</v>
      </c>
      <c r="K12" s="67" t="s">
        <v>4</v>
      </c>
      <c r="L12" s="118">
        <f t="shared" si="2"/>
        <v>33388</v>
      </c>
      <c r="M12" s="118"/>
      <c r="N12" s="131"/>
      <c r="O12" s="108" t="s">
        <v>315</v>
      </c>
      <c r="P12" s="108" t="s">
        <v>82</v>
      </c>
      <c r="Q12" s="108" t="s">
        <v>83</v>
      </c>
      <c r="R12" s="108" t="s">
        <v>84</v>
      </c>
      <c r="S12" s="108" t="s">
        <v>299</v>
      </c>
      <c r="T12" s="108" t="s">
        <v>316</v>
      </c>
      <c r="U12" s="108" t="s">
        <v>615</v>
      </c>
    </row>
    <row r="13" spans="1:21" ht="28.9" customHeight="1" x14ac:dyDescent="0.3">
      <c r="A13" s="418"/>
      <c r="B13" s="399"/>
      <c r="C13" s="106" t="s">
        <v>317</v>
      </c>
      <c r="D13" s="80" t="s">
        <v>318</v>
      </c>
      <c r="E13" s="81" t="s">
        <v>296</v>
      </c>
      <c r="F13" s="83" t="s">
        <v>297</v>
      </c>
      <c r="G13" s="30">
        <v>2</v>
      </c>
      <c r="H13" s="31">
        <v>10734</v>
      </c>
      <c r="I13" s="32">
        <f t="shared" si="0"/>
        <v>21468</v>
      </c>
      <c r="J13" s="32">
        <f t="shared" si="1"/>
        <v>858.72</v>
      </c>
      <c r="K13" s="67" t="s">
        <v>4</v>
      </c>
      <c r="L13" s="118">
        <f t="shared" si="2"/>
        <v>21468</v>
      </c>
      <c r="M13" s="118"/>
      <c r="N13" s="131"/>
      <c r="O13" s="106" t="s">
        <v>298</v>
      </c>
      <c r="P13" s="106" t="s">
        <v>123</v>
      </c>
      <c r="Q13" s="106" t="s">
        <v>76</v>
      </c>
      <c r="R13" s="106" t="s">
        <v>77</v>
      </c>
      <c r="S13" s="106" t="s">
        <v>299</v>
      </c>
      <c r="T13" s="106" t="s">
        <v>319</v>
      </c>
      <c r="U13" s="106" t="s">
        <v>642</v>
      </c>
    </row>
    <row r="14" spans="1:21" ht="43.15" customHeight="1" x14ac:dyDescent="0.3">
      <c r="A14" s="418"/>
      <c r="B14" s="399"/>
      <c r="C14" s="106" t="s">
        <v>320</v>
      </c>
      <c r="D14" s="79" t="s">
        <v>321</v>
      </c>
      <c r="E14" s="81" t="s">
        <v>322</v>
      </c>
      <c r="F14" s="83" t="s">
        <v>297</v>
      </c>
      <c r="G14" s="30">
        <v>2</v>
      </c>
      <c r="H14" s="31">
        <v>19369</v>
      </c>
      <c r="I14" s="32">
        <f t="shared" si="0"/>
        <v>38738</v>
      </c>
      <c r="J14" s="32">
        <f t="shared" si="1"/>
        <v>1549.52</v>
      </c>
      <c r="K14" s="67" t="s">
        <v>4</v>
      </c>
      <c r="L14" s="118">
        <f t="shared" si="2"/>
        <v>38738</v>
      </c>
      <c r="M14" s="118"/>
      <c r="N14" s="131"/>
      <c r="O14" s="106" t="s">
        <v>323</v>
      </c>
      <c r="P14" s="106" t="s">
        <v>123</v>
      </c>
      <c r="Q14" s="106" t="s">
        <v>324</v>
      </c>
      <c r="R14" s="106" t="s">
        <v>325</v>
      </c>
      <c r="S14" s="106" t="s">
        <v>299</v>
      </c>
      <c r="T14" s="106" t="s">
        <v>326</v>
      </c>
      <c r="U14" s="106" t="s">
        <v>642</v>
      </c>
    </row>
    <row r="15" spans="1:21" ht="43.15" customHeight="1" x14ac:dyDescent="0.3">
      <c r="A15" s="418"/>
      <c r="B15" s="399"/>
      <c r="C15" s="106" t="s">
        <v>320</v>
      </c>
      <c r="D15" s="79" t="s">
        <v>321</v>
      </c>
      <c r="E15" s="81" t="s">
        <v>322</v>
      </c>
      <c r="F15" s="83" t="s">
        <v>297</v>
      </c>
      <c r="G15" s="30">
        <v>2</v>
      </c>
      <c r="H15" s="31">
        <v>23954</v>
      </c>
      <c r="I15" s="32">
        <f t="shared" si="0"/>
        <v>47908</v>
      </c>
      <c r="J15" s="32">
        <f t="shared" si="1"/>
        <v>1916.32</v>
      </c>
      <c r="K15" s="67" t="s">
        <v>4</v>
      </c>
      <c r="L15" s="118">
        <f t="shared" si="2"/>
        <v>47908</v>
      </c>
      <c r="M15" s="118"/>
      <c r="N15" s="131"/>
      <c r="O15" s="106" t="s">
        <v>323</v>
      </c>
      <c r="P15" s="106" t="s">
        <v>123</v>
      </c>
      <c r="Q15" s="106" t="s">
        <v>324</v>
      </c>
      <c r="R15" s="106" t="s">
        <v>325</v>
      </c>
      <c r="S15" s="106" t="s">
        <v>299</v>
      </c>
      <c r="T15" s="106" t="s">
        <v>326</v>
      </c>
      <c r="U15" s="106" t="s">
        <v>642</v>
      </c>
    </row>
    <row r="16" spans="1:21" ht="43.15" customHeight="1" x14ac:dyDescent="0.3">
      <c r="A16" s="418"/>
      <c r="B16" s="399"/>
      <c r="C16" s="106" t="s">
        <v>327</v>
      </c>
      <c r="D16" s="80" t="s">
        <v>328</v>
      </c>
      <c r="E16" s="81" t="s">
        <v>322</v>
      </c>
      <c r="F16" s="83" t="s">
        <v>297</v>
      </c>
      <c r="G16" s="30">
        <v>4</v>
      </c>
      <c r="H16" s="31">
        <v>3500</v>
      </c>
      <c r="I16" s="32">
        <f t="shared" si="0"/>
        <v>14000</v>
      </c>
      <c r="J16" s="32">
        <f t="shared" si="1"/>
        <v>560</v>
      </c>
      <c r="K16" s="67" t="s">
        <v>4</v>
      </c>
      <c r="L16" s="118">
        <f t="shared" si="2"/>
        <v>14000</v>
      </c>
      <c r="M16" s="118"/>
      <c r="N16" s="131"/>
      <c r="O16" s="106" t="s">
        <v>329</v>
      </c>
      <c r="P16" s="106" t="s">
        <v>58</v>
      </c>
      <c r="Q16" s="106" t="s">
        <v>59</v>
      </c>
      <c r="R16" s="106" t="s">
        <v>60</v>
      </c>
      <c r="S16" s="106" t="s">
        <v>299</v>
      </c>
      <c r="T16" s="106" t="s">
        <v>330</v>
      </c>
      <c r="U16" s="106" t="s">
        <v>614</v>
      </c>
    </row>
    <row r="17" spans="1:21" ht="72" customHeight="1" x14ac:dyDescent="0.3">
      <c r="A17" s="418"/>
      <c r="B17" s="399"/>
      <c r="C17" s="106" t="s">
        <v>331</v>
      </c>
      <c r="D17" s="84" t="s">
        <v>332</v>
      </c>
      <c r="E17" s="85" t="s">
        <v>322</v>
      </c>
      <c r="F17" s="83" t="s">
        <v>297</v>
      </c>
      <c r="G17" s="30">
        <v>2</v>
      </c>
      <c r="H17" s="31">
        <v>14519</v>
      </c>
      <c r="I17" s="32">
        <f t="shared" si="0"/>
        <v>29038</v>
      </c>
      <c r="J17" s="32">
        <f t="shared" si="1"/>
        <v>1161.52</v>
      </c>
      <c r="K17" s="67" t="s">
        <v>4</v>
      </c>
      <c r="L17" s="118">
        <f t="shared" si="2"/>
        <v>29038</v>
      </c>
      <c r="M17" s="118"/>
      <c r="N17" s="131"/>
      <c r="O17" s="106" t="s">
        <v>329</v>
      </c>
      <c r="P17" s="106" t="s">
        <v>58</v>
      </c>
      <c r="Q17" s="106" t="s">
        <v>59</v>
      </c>
      <c r="R17" s="106" t="s">
        <v>60</v>
      </c>
      <c r="S17" s="106" t="s">
        <v>299</v>
      </c>
      <c r="T17" s="106" t="s">
        <v>333</v>
      </c>
      <c r="U17" s="106" t="s">
        <v>614</v>
      </c>
    </row>
    <row r="18" spans="1:21" ht="34.9" customHeight="1" thickBot="1" x14ac:dyDescent="0.35">
      <c r="A18" s="419"/>
      <c r="B18" s="416"/>
      <c r="C18" s="106" t="s">
        <v>334</v>
      </c>
      <c r="D18" s="80" t="s">
        <v>335</v>
      </c>
      <c r="E18" s="85" t="s">
        <v>322</v>
      </c>
      <c r="F18" s="83" t="s">
        <v>297</v>
      </c>
      <c r="G18" s="30">
        <v>3</v>
      </c>
      <c r="H18" s="31">
        <v>60000</v>
      </c>
      <c r="I18" s="32">
        <f t="shared" si="0"/>
        <v>180000</v>
      </c>
      <c r="J18" s="32">
        <f t="shared" si="1"/>
        <v>7200</v>
      </c>
      <c r="K18" s="67" t="s">
        <v>4</v>
      </c>
      <c r="L18" s="118">
        <f t="shared" si="2"/>
        <v>180000</v>
      </c>
      <c r="M18" s="118"/>
      <c r="N18" s="131"/>
      <c r="O18" s="106" t="s">
        <v>329</v>
      </c>
      <c r="P18" s="106" t="s">
        <v>58</v>
      </c>
      <c r="Q18" s="106" t="s">
        <v>59</v>
      </c>
      <c r="R18" s="106" t="s">
        <v>60</v>
      </c>
      <c r="S18" s="106" t="s">
        <v>299</v>
      </c>
      <c r="T18" s="106" t="s">
        <v>336</v>
      </c>
      <c r="U18" s="106" t="s">
        <v>614</v>
      </c>
    </row>
    <row r="19" spans="1:21" ht="28.15" customHeight="1" thickBot="1" x14ac:dyDescent="0.35">
      <c r="A19" s="144" t="s">
        <v>292</v>
      </c>
      <c r="B19" s="113" t="s">
        <v>337</v>
      </c>
      <c r="C19" s="109" t="s">
        <v>338</v>
      </c>
      <c r="D19" s="58" t="s">
        <v>339</v>
      </c>
      <c r="E19" s="86" t="s">
        <v>322</v>
      </c>
      <c r="F19" s="150" t="s">
        <v>297</v>
      </c>
      <c r="G19" s="18">
        <v>1</v>
      </c>
      <c r="H19" s="19">
        <v>120518</v>
      </c>
      <c r="I19" s="20">
        <f t="shared" si="0"/>
        <v>120518</v>
      </c>
      <c r="J19" s="20">
        <f t="shared" si="1"/>
        <v>4820.72</v>
      </c>
      <c r="K19" s="66" t="s">
        <v>6</v>
      </c>
      <c r="L19" s="121"/>
      <c r="M19" s="121"/>
      <c r="N19" s="132">
        <f>I19</f>
        <v>120518</v>
      </c>
      <c r="O19" s="109" t="s">
        <v>340</v>
      </c>
      <c r="P19" s="109" t="s">
        <v>237</v>
      </c>
      <c r="Q19" s="109" t="s">
        <v>238</v>
      </c>
      <c r="R19" s="109" t="s">
        <v>239</v>
      </c>
      <c r="S19" s="109" t="s">
        <v>299</v>
      </c>
      <c r="T19" s="109" t="s">
        <v>341</v>
      </c>
      <c r="U19" s="109" t="s">
        <v>643</v>
      </c>
    </row>
    <row r="20" spans="1:21" ht="33.6" customHeight="1" thickBot="1" x14ac:dyDescent="0.35">
      <c r="A20" s="70" t="s">
        <v>292</v>
      </c>
      <c r="B20" s="114" t="s">
        <v>342</v>
      </c>
      <c r="C20" s="106" t="s">
        <v>343</v>
      </c>
      <c r="D20" s="79" t="s">
        <v>344</v>
      </c>
      <c r="E20" s="85" t="s">
        <v>296</v>
      </c>
      <c r="F20" s="83" t="s">
        <v>297</v>
      </c>
      <c r="G20" s="30">
        <v>1</v>
      </c>
      <c r="H20" s="31">
        <v>61238</v>
      </c>
      <c r="I20" s="32">
        <f t="shared" si="0"/>
        <v>61238</v>
      </c>
      <c r="J20" s="32">
        <f t="shared" si="1"/>
        <v>2449.52</v>
      </c>
      <c r="K20" s="67" t="s">
        <v>5</v>
      </c>
      <c r="L20" s="118"/>
      <c r="M20" s="118">
        <f>I20</f>
        <v>61238</v>
      </c>
      <c r="N20" s="131"/>
      <c r="O20" s="106" t="s">
        <v>304</v>
      </c>
      <c r="P20" s="106" t="s">
        <v>123</v>
      </c>
      <c r="Q20" s="106" t="s">
        <v>124</v>
      </c>
      <c r="R20" s="106" t="s">
        <v>125</v>
      </c>
      <c r="S20" s="106" t="s">
        <v>299</v>
      </c>
      <c r="T20" s="106" t="s">
        <v>345</v>
      </c>
      <c r="U20" s="106" t="s">
        <v>644</v>
      </c>
    </row>
    <row r="21" spans="1:21" ht="31.9" customHeight="1" thickBot="1" x14ac:dyDescent="0.35">
      <c r="A21" s="428" t="s">
        <v>292</v>
      </c>
      <c r="B21" s="424" t="s">
        <v>346</v>
      </c>
      <c r="C21" s="109" t="s">
        <v>347</v>
      </c>
      <c r="D21" s="77" t="s">
        <v>348</v>
      </c>
      <c r="E21" s="14" t="s">
        <v>349</v>
      </c>
      <c r="F21" s="150" t="s">
        <v>297</v>
      </c>
      <c r="G21" s="18">
        <v>3</v>
      </c>
      <c r="H21" s="19">
        <v>43094</v>
      </c>
      <c r="I21" s="20">
        <f t="shared" si="0"/>
        <v>129282</v>
      </c>
      <c r="J21" s="20">
        <f t="shared" si="1"/>
        <v>5171.28</v>
      </c>
      <c r="K21" s="66" t="s">
        <v>4</v>
      </c>
      <c r="L21" s="121">
        <f>I21</f>
        <v>129282</v>
      </c>
      <c r="M21" s="121"/>
      <c r="N21" s="132"/>
      <c r="O21" s="109" t="s">
        <v>315</v>
      </c>
      <c r="P21" s="109" t="s">
        <v>58</v>
      </c>
      <c r="Q21" s="109" t="s">
        <v>83</v>
      </c>
      <c r="R21" s="109" t="s">
        <v>84</v>
      </c>
      <c r="S21" s="109" t="s">
        <v>299</v>
      </c>
      <c r="T21" s="109" t="s">
        <v>350</v>
      </c>
      <c r="U21" s="109" t="s">
        <v>645</v>
      </c>
    </row>
    <row r="22" spans="1:21" ht="34.9" customHeight="1" x14ac:dyDescent="0.3">
      <c r="A22" s="418"/>
      <c r="B22" s="399"/>
      <c r="C22" s="109" t="s">
        <v>351</v>
      </c>
      <c r="D22" s="77" t="s">
        <v>348</v>
      </c>
      <c r="E22" s="14" t="s">
        <v>349</v>
      </c>
      <c r="F22" s="150" t="s">
        <v>297</v>
      </c>
      <c r="G22" s="18">
        <v>3</v>
      </c>
      <c r="H22" s="19">
        <v>38909.333333333343</v>
      </c>
      <c r="I22" s="20">
        <f t="shared" si="0"/>
        <v>116728.00000000003</v>
      </c>
      <c r="J22" s="20">
        <f t="shared" si="1"/>
        <v>4669.1200000000008</v>
      </c>
      <c r="K22" s="66" t="s">
        <v>5</v>
      </c>
      <c r="L22" s="121"/>
      <c r="M22" s="121">
        <f>I22</f>
        <v>116728.00000000003</v>
      </c>
      <c r="N22" s="132"/>
      <c r="O22" s="109" t="s">
        <v>298</v>
      </c>
      <c r="P22" s="109" t="s">
        <v>58</v>
      </c>
      <c r="Q22" s="109" t="s">
        <v>76</v>
      </c>
      <c r="R22" s="109" t="s">
        <v>77</v>
      </c>
      <c r="S22" s="109" t="s">
        <v>299</v>
      </c>
      <c r="T22" s="109" t="s">
        <v>352</v>
      </c>
      <c r="U22" s="109" t="s">
        <v>645</v>
      </c>
    </row>
    <row r="23" spans="1:21" ht="27.6" customHeight="1" thickBot="1" x14ac:dyDescent="0.35">
      <c r="A23" s="419"/>
      <c r="B23" s="416"/>
      <c r="C23" s="109" t="s">
        <v>353</v>
      </c>
      <c r="D23" s="88" t="s">
        <v>354</v>
      </c>
      <c r="E23" s="14" t="s">
        <v>355</v>
      </c>
      <c r="F23" s="150" t="s">
        <v>297</v>
      </c>
      <c r="G23" s="18">
        <v>3</v>
      </c>
      <c r="H23" s="19">
        <v>22536</v>
      </c>
      <c r="I23" s="20">
        <f t="shared" si="0"/>
        <v>67608</v>
      </c>
      <c r="J23" s="20">
        <f t="shared" si="1"/>
        <v>2704.32</v>
      </c>
      <c r="K23" s="66" t="s">
        <v>4</v>
      </c>
      <c r="L23" s="121">
        <f>I23</f>
        <v>67608</v>
      </c>
      <c r="M23" s="121"/>
      <c r="N23" s="132"/>
      <c r="O23" s="109" t="s">
        <v>304</v>
      </c>
      <c r="P23" s="109" t="s">
        <v>58</v>
      </c>
      <c r="Q23" s="109" t="s">
        <v>124</v>
      </c>
      <c r="R23" s="109" t="s">
        <v>125</v>
      </c>
      <c r="S23" s="109" t="s">
        <v>299</v>
      </c>
      <c r="T23" s="109" t="s">
        <v>356</v>
      </c>
      <c r="U23" s="109" t="s">
        <v>645</v>
      </c>
    </row>
    <row r="24" spans="1:21" ht="38.450000000000003" customHeight="1" thickBot="1" x14ac:dyDescent="0.35">
      <c r="A24" s="102" t="s">
        <v>357</v>
      </c>
      <c r="B24" s="13" t="s">
        <v>358</v>
      </c>
      <c r="C24" s="106" t="s">
        <v>359</v>
      </c>
      <c r="D24" s="80" t="s">
        <v>360</v>
      </c>
      <c r="E24" s="81" t="s">
        <v>355</v>
      </c>
      <c r="F24" s="83" t="s">
        <v>297</v>
      </c>
      <c r="G24" s="30"/>
      <c r="H24" s="31"/>
      <c r="I24" s="32">
        <f t="shared" si="0"/>
        <v>0</v>
      </c>
      <c r="J24" s="32">
        <f t="shared" si="1"/>
        <v>0</v>
      </c>
      <c r="K24" s="67" t="s">
        <v>150</v>
      </c>
      <c r="L24" s="118">
        <f>I24/2</f>
        <v>0</v>
      </c>
      <c r="M24" s="118">
        <f>I24/2</f>
        <v>0</v>
      </c>
      <c r="N24" s="131"/>
      <c r="O24" s="106" t="s">
        <v>304</v>
      </c>
      <c r="P24" s="106" t="s">
        <v>123</v>
      </c>
      <c r="Q24" s="106" t="s">
        <v>124</v>
      </c>
      <c r="R24" s="106" t="s">
        <v>125</v>
      </c>
      <c r="S24" s="106" t="s">
        <v>299</v>
      </c>
      <c r="T24" s="106" t="s">
        <v>361</v>
      </c>
      <c r="U24" s="106" t="s">
        <v>646</v>
      </c>
    </row>
    <row r="25" spans="1:21" ht="29.45" customHeight="1" thickBot="1" x14ac:dyDescent="0.35">
      <c r="A25" s="103" t="s">
        <v>292</v>
      </c>
      <c r="B25" s="113" t="s">
        <v>362</v>
      </c>
      <c r="C25" s="110" t="s">
        <v>363</v>
      </c>
      <c r="D25" s="18" t="s">
        <v>364</v>
      </c>
      <c r="E25" s="14" t="s">
        <v>296</v>
      </c>
      <c r="F25" s="150" t="s">
        <v>297</v>
      </c>
      <c r="G25" s="18">
        <v>3</v>
      </c>
      <c r="H25" s="19">
        <v>22636</v>
      </c>
      <c r="I25" s="20">
        <f t="shared" si="0"/>
        <v>67908</v>
      </c>
      <c r="J25" s="20">
        <f t="shared" si="1"/>
        <v>2716.32</v>
      </c>
      <c r="K25" s="66" t="s">
        <v>5</v>
      </c>
      <c r="L25" s="121"/>
      <c r="M25" s="121">
        <f>I25</f>
        <v>67908</v>
      </c>
      <c r="N25" s="132"/>
      <c r="O25" s="110" t="s">
        <v>298</v>
      </c>
      <c r="P25" s="110" t="s">
        <v>82</v>
      </c>
      <c r="Q25" s="110" t="s">
        <v>76</v>
      </c>
      <c r="R25" s="110" t="s">
        <v>77</v>
      </c>
      <c r="S25" s="110" t="s">
        <v>299</v>
      </c>
      <c r="T25" s="110" t="s">
        <v>365</v>
      </c>
      <c r="U25" s="110" t="s">
        <v>647</v>
      </c>
    </row>
    <row r="26" spans="1:21" ht="29.45" customHeight="1" thickBot="1" x14ac:dyDescent="0.35">
      <c r="A26" s="102" t="s">
        <v>292</v>
      </c>
      <c r="B26" s="115" t="s">
        <v>366</v>
      </c>
      <c r="C26" s="106" t="s">
        <v>367</v>
      </c>
      <c r="D26" s="30" t="s">
        <v>348</v>
      </c>
      <c r="E26" s="85" t="s">
        <v>74</v>
      </c>
      <c r="F26" s="83" t="s">
        <v>297</v>
      </c>
      <c r="G26" s="30">
        <v>3</v>
      </c>
      <c r="H26" s="31">
        <v>23402.666666666672</v>
      </c>
      <c r="I26" s="32">
        <f t="shared" si="0"/>
        <v>70208.000000000015</v>
      </c>
      <c r="J26" s="32">
        <f t="shared" si="1"/>
        <v>2808.3200000000006</v>
      </c>
      <c r="K26" s="67" t="s">
        <v>5</v>
      </c>
      <c r="L26" s="118"/>
      <c r="M26" s="118">
        <f>I26</f>
        <v>70208.000000000015</v>
      </c>
      <c r="N26" s="131"/>
      <c r="O26" s="106" t="s">
        <v>315</v>
      </c>
      <c r="P26" s="106" t="s">
        <v>82</v>
      </c>
      <c r="Q26" s="106" t="s">
        <v>83</v>
      </c>
      <c r="R26" s="106" t="s">
        <v>84</v>
      </c>
      <c r="S26" s="106" t="s">
        <v>299</v>
      </c>
      <c r="T26" s="106" t="s">
        <v>368</v>
      </c>
      <c r="U26" s="106" t="s">
        <v>648</v>
      </c>
    </row>
    <row r="27" spans="1:21" ht="27" customHeight="1" thickBot="1" x14ac:dyDescent="0.35">
      <c r="A27" s="103" t="s">
        <v>292</v>
      </c>
      <c r="B27" s="113" t="s">
        <v>369</v>
      </c>
      <c r="C27" s="109" t="s">
        <v>370</v>
      </c>
      <c r="D27" s="18" t="s">
        <v>371</v>
      </c>
      <c r="E27" s="14" t="s">
        <v>355</v>
      </c>
      <c r="F27" s="150" t="s">
        <v>297</v>
      </c>
      <c r="G27" s="18">
        <v>3</v>
      </c>
      <c r="H27" s="19">
        <v>24509.333333333328</v>
      </c>
      <c r="I27" s="20">
        <f t="shared" si="0"/>
        <v>73527.999999999985</v>
      </c>
      <c r="J27" s="20">
        <f t="shared" si="1"/>
        <v>2941.1199999999994</v>
      </c>
      <c r="K27" s="66" t="s">
        <v>372</v>
      </c>
      <c r="L27" s="121">
        <f>I27/3</f>
        <v>24509.333333333328</v>
      </c>
      <c r="M27" s="121">
        <f>I27/3</f>
        <v>24509.333333333328</v>
      </c>
      <c r="N27" s="132">
        <f>I27/3</f>
        <v>24509.333333333328</v>
      </c>
      <c r="O27" s="109" t="s">
        <v>298</v>
      </c>
      <c r="P27" s="109" t="s">
        <v>58</v>
      </c>
      <c r="Q27" s="109" t="s">
        <v>76</v>
      </c>
      <c r="R27" s="109" t="s">
        <v>77</v>
      </c>
      <c r="S27" s="109" t="s">
        <v>299</v>
      </c>
      <c r="T27" s="109" t="s">
        <v>373</v>
      </c>
      <c r="U27" s="109" t="s">
        <v>649</v>
      </c>
    </row>
    <row r="28" spans="1:21" ht="27" customHeight="1" thickBot="1" x14ac:dyDescent="0.35">
      <c r="A28" s="104"/>
      <c r="B28" s="116" t="s">
        <v>374</v>
      </c>
      <c r="C28" s="106" t="s">
        <v>375</v>
      </c>
      <c r="D28" s="30" t="s">
        <v>376</v>
      </c>
      <c r="E28" s="85" t="s">
        <v>74</v>
      </c>
      <c r="F28" s="83" t="s">
        <v>297</v>
      </c>
      <c r="G28" s="30"/>
      <c r="H28" s="31"/>
      <c r="I28" s="32">
        <f t="shared" si="0"/>
        <v>0</v>
      </c>
      <c r="J28" s="32">
        <f t="shared" si="1"/>
        <v>0</v>
      </c>
      <c r="K28" s="67" t="s">
        <v>4</v>
      </c>
      <c r="L28" s="118">
        <f>I28</f>
        <v>0</v>
      </c>
      <c r="M28" s="118"/>
      <c r="N28" s="131"/>
      <c r="O28" s="106" t="s">
        <v>315</v>
      </c>
      <c r="P28" s="106" t="s">
        <v>82</v>
      </c>
      <c r="Q28" s="106" t="s">
        <v>83</v>
      </c>
      <c r="R28" s="106" t="s">
        <v>84</v>
      </c>
      <c r="S28" s="106" t="s">
        <v>299</v>
      </c>
      <c r="T28" s="106" t="s">
        <v>377</v>
      </c>
      <c r="U28" s="106" t="s">
        <v>650</v>
      </c>
    </row>
    <row r="29" spans="1:21" ht="32.450000000000003" customHeight="1" thickBot="1" x14ac:dyDescent="0.35">
      <c r="A29" s="103" t="s">
        <v>292</v>
      </c>
      <c r="B29" s="113" t="s">
        <v>378</v>
      </c>
      <c r="C29" s="109" t="s">
        <v>379</v>
      </c>
      <c r="D29" s="18" t="s">
        <v>380</v>
      </c>
      <c r="E29" s="86" t="s">
        <v>322</v>
      </c>
      <c r="F29" s="150" t="s">
        <v>381</v>
      </c>
      <c r="G29" s="18">
        <v>3</v>
      </c>
      <c r="H29" s="19">
        <v>46987.666666666657</v>
      </c>
      <c r="I29" s="20">
        <f t="shared" si="0"/>
        <v>140962.99999999997</v>
      </c>
      <c r="J29" s="20">
        <f t="shared" si="1"/>
        <v>5638.5199999999986</v>
      </c>
      <c r="K29" s="66" t="s">
        <v>372</v>
      </c>
      <c r="L29" s="121">
        <f>I29/3</f>
        <v>46987.666666666657</v>
      </c>
      <c r="M29" s="121">
        <f>I29/3</f>
        <v>46987.666666666657</v>
      </c>
      <c r="N29" s="132">
        <f>I29/3</f>
        <v>46987.666666666657</v>
      </c>
      <c r="O29" s="109" t="s">
        <v>329</v>
      </c>
      <c r="P29" s="109" t="s">
        <v>58</v>
      </c>
      <c r="Q29" s="109" t="s">
        <v>59</v>
      </c>
      <c r="R29" s="109" t="s">
        <v>60</v>
      </c>
      <c r="S29" s="109" t="s">
        <v>299</v>
      </c>
      <c r="T29" s="109" t="s">
        <v>382</v>
      </c>
      <c r="U29" s="109" t="s">
        <v>651</v>
      </c>
    </row>
    <row r="30" spans="1:21" ht="30.6" customHeight="1" thickBot="1" x14ac:dyDescent="0.35">
      <c r="A30" s="103" t="s">
        <v>292</v>
      </c>
      <c r="B30" s="423" t="s">
        <v>383</v>
      </c>
      <c r="C30" s="106" t="s">
        <v>384</v>
      </c>
      <c r="D30" s="30" t="s">
        <v>385</v>
      </c>
      <c r="E30" s="85" t="s">
        <v>296</v>
      </c>
      <c r="F30" s="83" t="s">
        <v>386</v>
      </c>
      <c r="G30" s="30">
        <v>1</v>
      </c>
      <c r="H30" s="31">
        <v>137450</v>
      </c>
      <c r="I30" s="32">
        <f t="shared" si="0"/>
        <v>137450</v>
      </c>
      <c r="J30" s="32">
        <f t="shared" si="1"/>
        <v>5498</v>
      </c>
      <c r="K30" s="67" t="s">
        <v>4</v>
      </c>
      <c r="L30" s="119">
        <f>I30</f>
        <v>137450</v>
      </c>
      <c r="M30" s="117"/>
      <c r="N30" s="133"/>
      <c r="O30" s="106" t="s">
        <v>298</v>
      </c>
      <c r="P30" s="106" t="s">
        <v>123</v>
      </c>
      <c r="Q30" s="106" t="s">
        <v>76</v>
      </c>
      <c r="R30" s="106" t="s">
        <v>77</v>
      </c>
      <c r="S30" s="106" t="s">
        <v>299</v>
      </c>
      <c r="T30" s="106" t="s">
        <v>387</v>
      </c>
      <c r="U30" s="106" t="s">
        <v>652</v>
      </c>
    </row>
    <row r="31" spans="1:21" ht="27" customHeight="1" thickBot="1" x14ac:dyDescent="0.35">
      <c r="A31" s="420" t="s">
        <v>357</v>
      </c>
      <c r="B31" s="399"/>
      <c r="C31" s="106" t="s">
        <v>388</v>
      </c>
      <c r="D31" s="30" t="s">
        <v>389</v>
      </c>
      <c r="E31" s="85" t="s">
        <v>296</v>
      </c>
      <c r="F31" s="83" t="s">
        <v>386</v>
      </c>
      <c r="G31" s="30">
        <v>1</v>
      </c>
      <c r="H31" s="31">
        <v>31580</v>
      </c>
      <c r="I31" s="32">
        <f t="shared" si="0"/>
        <v>31580</v>
      </c>
      <c r="J31" s="32">
        <f t="shared" si="1"/>
        <v>1263.2</v>
      </c>
      <c r="K31" s="67" t="s">
        <v>5</v>
      </c>
      <c r="L31" s="117"/>
      <c r="M31" s="119">
        <f>I31</f>
        <v>31580</v>
      </c>
      <c r="N31" s="133"/>
      <c r="O31" s="106" t="s">
        <v>390</v>
      </c>
      <c r="P31" s="106" t="s">
        <v>123</v>
      </c>
      <c r="Q31" s="106" t="s">
        <v>184</v>
      </c>
      <c r="R31" s="106" t="s">
        <v>185</v>
      </c>
      <c r="S31" s="106" t="s">
        <v>299</v>
      </c>
      <c r="T31" s="106" t="s">
        <v>391</v>
      </c>
      <c r="U31" s="106" t="s">
        <v>653</v>
      </c>
    </row>
    <row r="32" spans="1:21" ht="27.6" customHeight="1" x14ac:dyDescent="0.3">
      <c r="A32" s="418"/>
      <c r="B32" s="399"/>
      <c r="C32" s="106" t="s">
        <v>392</v>
      </c>
      <c r="D32" s="30" t="s">
        <v>392</v>
      </c>
      <c r="E32" s="85" t="s">
        <v>205</v>
      </c>
      <c r="F32" s="83" t="s">
        <v>386</v>
      </c>
      <c r="G32" s="30">
        <v>1</v>
      </c>
      <c r="H32" s="31">
        <v>3340</v>
      </c>
      <c r="I32" s="32">
        <f t="shared" si="0"/>
        <v>3340</v>
      </c>
      <c r="J32" s="32">
        <f t="shared" si="1"/>
        <v>133.6</v>
      </c>
      <c r="K32" s="67" t="s">
        <v>5</v>
      </c>
      <c r="L32" s="118"/>
      <c r="M32" s="119">
        <f>I32</f>
        <v>3340</v>
      </c>
      <c r="N32" s="133"/>
      <c r="O32" s="106" t="s">
        <v>298</v>
      </c>
      <c r="P32" s="106" t="s">
        <v>183</v>
      </c>
      <c r="Q32" s="106" t="s">
        <v>76</v>
      </c>
      <c r="R32" s="106" t="s">
        <v>77</v>
      </c>
      <c r="S32" s="106" t="s">
        <v>299</v>
      </c>
      <c r="T32" s="106" t="s">
        <v>393</v>
      </c>
      <c r="U32" s="106" t="s">
        <v>655</v>
      </c>
    </row>
    <row r="33" spans="1:21" ht="31.9" customHeight="1" x14ac:dyDescent="0.3">
      <c r="A33" s="418"/>
      <c r="B33" s="399"/>
      <c r="C33" s="106" t="s">
        <v>394</v>
      </c>
      <c r="D33" s="30" t="s">
        <v>395</v>
      </c>
      <c r="E33" s="85" t="s">
        <v>205</v>
      </c>
      <c r="F33" s="83" t="s">
        <v>386</v>
      </c>
      <c r="G33" s="30">
        <v>1</v>
      </c>
      <c r="H33" s="31">
        <v>63660</v>
      </c>
      <c r="I33" s="32">
        <f t="shared" si="0"/>
        <v>63660</v>
      </c>
      <c r="J33" s="32">
        <f t="shared" si="1"/>
        <v>2546.4</v>
      </c>
      <c r="K33" s="67" t="s">
        <v>4</v>
      </c>
      <c r="L33" s="118">
        <f>I33</f>
        <v>63660</v>
      </c>
      <c r="M33" s="117"/>
      <c r="N33" s="133"/>
      <c r="O33" s="106" t="s">
        <v>298</v>
      </c>
      <c r="P33" s="106" t="s">
        <v>183</v>
      </c>
      <c r="Q33" s="106" t="s">
        <v>76</v>
      </c>
      <c r="R33" s="106" t="s">
        <v>77</v>
      </c>
      <c r="S33" s="106" t="s">
        <v>299</v>
      </c>
      <c r="T33" s="106" t="s">
        <v>396</v>
      </c>
      <c r="U33" s="106" t="s">
        <v>655</v>
      </c>
    </row>
    <row r="34" spans="1:21" ht="19.899999999999999" customHeight="1" x14ac:dyDescent="0.3">
      <c r="A34" s="418"/>
      <c r="B34" s="399"/>
      <c r="C34" s="106" t="s">
        <v>397</v>
      </c>
      <c r="D34" s="30" t="s">
        <v>398</v>
      </c>
      <c r="E34" s="85" t="s">
        <v>205</v>
      </c>
      <c r="F34" s="83" t="s">
        <v>297</v>
      </c>
      <c r="G34" s="30">
        <v>1</v>
      </c>
      <c r="H34" s="31">
        <v>200000</v>
      </c>
      <c r="I34" s="32">
        <f t="shared" si="0"/>
        <v>200000</v>
      </c>
      <c r="J34" s="32">
        <f t="shared" si="1"/>
        <v>8000</v>
      </c>
      <c r="K34" s="67" t="s">
        <v>5</v>
      </c>
      <c r="L34" s="118"/>
      <c r="M34" s="119">
        <f>I34</f>
        <v>200000</v>
      </c>
      <c r="N34" s="133"/>
      <c r="O34" s="106" t="s">
        <v>298</v>
      </c>
      <c r="P34" s="106" t="s">
        <v>183</v>
      </c>
      <c r="Q34" s="106" t="s">
        <v>76</v>
      </c>
      <c r="R34" s="106" t="s">
        <v>77</v>
      </c>
      <c r="S34" s="106" t="s">
        <v>299</v>
      </c>
      <c r="T34" s="106" t="s">
        <v>399</v>
      </c>
      <c r="U34" s="106" t="s">
        <v>655</v>
      </c>
    </row>
    <row r="35" spans="1:21" ht="30" customHeight="1" x14ac:dyDescent="0.3">
      <c r="A35" s="418"/>
      <c r="B35" s="399"/>
      <c r="C35" s="106" t="s">
        <v>400</v>
      </c>
      <c r="D35" s="80" t="s">
        <v>401</v>
      </c>
      <c r="E35" s="85" t="s">
        <v>181</v>
      </c>
      <c r="F35" s="83" t="s">
        <v>386</v>
      </c>
      <c r="G35" s="30">
        <v>1</v>
      </c>
      <c r="H35" s="31">
        <v>169600</v>
      </c>
      <c r="I35" s="32">
        <f t="shared" si="0"/>
        <v>169600</v>
      </c>
      <c r="J35" s="32">
        <f t="shared" si="1"/>
        <v>6784</v>
      </c>
      <c r="K35" s="67" t="s">
        <v>4</v>
      </c>
      <c r="L35" s="118">
        <f>I35</f>
        <v>169600</v>
      </c>
      <c r="M35" s="117"/>
      <c r="N35" s="133"/>
      <c r="O35" s="106" t="s">
        <v>323</v>
      </c>
      <c r="P35" s="106" t="s">
        <v>123</v>
      </c>
      <c r="Q35" s="106" t="s">
        <v>324</v>
      </c>
      <c r="R35" s="106" t="s">
        <v>325</v>
      </c>
      <c r="S35" s="106" t="s">
        <v>299</v>
      </c>
      <c r="T35" s="106" t="s">
        <v>402</v>
      </c>
      <c r="U35" s="106" t="s">
        <v>653</v>
      </c>
    </row>
    <row r="36" spans="1:21" ht="22.15" customHeight="1" thickBot="1" x14ac:dyDescent="0.35">
      <c r="A36" s="419"/>
      <c r="B36" s="416"/>
      <c r="C36" s="106" t="s">
        <v>403</v>
      </c>
      <c r="D36" s="30" t="s">
        <v>404</v>
      </c>
      <c r="E36" s="85" t="s">
        <v>181</v>
      </c>
      <c r="F36" s="151"/>
      <c r="G36" s="30">
        <v>1</v>
      </c>
      <c r="H36" s="31">
        <v>30000</v>
      </c>
      <c r="I36" s="32">
        <f t="shared" si="0"/>
        <v>30000</v>
      </c>
      <c r="J36" s="32">
        <f t="shared" si="1"/>
        <v>1200</v>
      </c>
      <c r="K36" s="67" t="s">
        <v>405</v>
      </c>
      <c r="L36" s="118">
        <f>I36/2</f>
        <v>15000</v>
      </c>
      <c r="M36" s="117"/>
      <c r="N36" s="134">
        <f>I36/2</f>
        <v>15000</v>
      </c>
      <c r="O36" s="106" t="s">
        <v>390</v>
      </c>
      <c r="P36" s="106" t="s">
        <v>183</v>
      </c>
      <c r="Q36" s="106" t="s">
        <v>184</v>
      </c>
      <c r="R36" s="106" t="s">
        <v>185</v>
      </c>
      <c r="S36" s="106" t="s">
        <v>299</v>
      </c>
      <c r="T36" s="106" t="s">
        <v>406</v>
      </c>
      <c r="U36" s="106" t="s">
        <v>655</v>
      </c>
    </row>
    <row r="37" spans="1:21" x14ac:dyDescent="0.3">
      <c r="A37" s="425" t="s">
        <v>13</v>
      </c>
      <c r="B37" s="427" t="s">
        <v>657</v>
      </c>
      <c r="C37" s="109" t="s">
        <v>256</v>
      </c>
      <c r="D37" s="18" t="s">
        <v>257</v>
      </c>
      <c r="E37" s="89" t="s">
        <v>258</v>
      </c>
      <c r="F37" s="152" t="s">
        <v>149</v>
      </c>
      <c r="G37" s="18">
        <v>9</v>
      </c>
      <c r="H37" s="19">
        <v>131666</v>
      </c>
      <c r="I37" s="20">
        <f t="shared" si="0"/>
        <v>1184994</v>
      </c>
      <c r="J37" s="20">
        <f t="shared" si="1"/>
        <v>47399.76</v>
      </c>
      <c r="K37" s="66" t="s">
        <v>372</v>
      </c>
      <c r="L37" s="121">
        <f>I37/3</f>
        <v>394998</v>
      </c>
      <c r="M37" s="121">
        <f>I37/3</f>
        <v>394998</v>
      </c>
      <c r="N37" s="132">
        <f>I37/3</f>
        <v>394998</v>
      </c>
      <c r="O37" s="109" t="s">
        <v>340</v>
      </c>
      <c r="P37" s="109" t="s">
        <v>237</v>
      </c>
      <c r="Q37" s="109" t="s">
        <v>238</v>
      </c>
      <c r="R37" s="109" t="s">
        <v>239</v>
      </c>
      <c r="S37" s="109" t="s">
        <v>299</v>
      </c>
      <c r="T37" s="109" t="s">
        <v>407</v>
      </c>
      <c r="U37" s="109" t="s">
        <v>656</v>
      </c>
    </row>
    <row r="38" spans="1:21" ht="30" customHeight="1" thickBot="1" x14ac:dyDescent="0.35">
      <c r="A38" s="426"/>
      <c r="B38" s="416"/>
      <c r="C38" s="111" t="s">
        <v>263</v>
      </c>
      <c r="D38" s="97" t="s">
        <v>264</v>
      </c>
      <c r="E38" s="98" t="s">
        <v>258</v>
      </c>
      <c r="F38" s="153" t="s">
        <v>149</v>
      </c>
      <c r="G38" s="97">
        <v>9</v>
      </c>
      <c r="H38" s="100">
        <v>26500</v>
      </c>
      <c r="I38" s="101">
        <f t="shared" si="0"/>
        <v>238500</v>
      </c>
      <c r="J38" s="101">
        <f t="shared" si="1"/>
        <v>9540</v>
      </c>
      <c r="K38" s="99" t="s">
        <v>408</v>
      </c>
      <c r="L38" s="123">
        <f>I38/3</f>
        <v>79500</v>
      </c>
      <c r="M38" s="123">
        <f>I38/3</f>
        <v>79500</v>
      </c>
      <c r="N38" s="135">
        <f>I38/3</f>
        <v>79500</v>
      </c>
      <c r="O38" s="111" t="s">
        <v>298</v>
      </c>
      <c r="P38" s="111" t="s">
        <v>75</v>
      </c>
      <c r="Q38" s="111" t="s">
        <v>76</v>
      </c>
      <c r="R38" s="111" t="s">
        <v>77</v>
      </c>
      <c r="S38" s="111" t="s">
        <v>299</v>
      </c>
      <c r="T38" s="111" t="s">
        <v>409</v>
      </c>
      <c r="U38" s="111" t="s">
        <v>656</v>
      </c>
    </row>
    <row r="39" spans="1:21" s="11" customFormat="1" ht="25.15" customHeight="1" thickBot="1" x14ac:dyDescent="0.35">
      <c r="A39" s="136" t="s">
        <v>286</v>
      </c>
      <c r="B39" s="137" t="s">
        <v>286</v>
      </c>
      <c r="C39" s="138"/>
      <c r="D39" s="138"/>
      <c r="E39" s="138"/>
      <c r="F39" s="154"/>
      <c r="G39" s="138"/>
      <c r="H39" s="139"/>
      <c r="I39" s="140">
        <f>SUM(I6:I38)</f>
        <v>3504858</v>
      </c>
      <c r="J39" s="140">
        <f>SUM(J6:J38)</f>
        <v>140194.32</v>
      </c>
      <c r="K39" s="141"/>
      <c r="L39" s="142">
        <f>SUM(L6:L38)</f>
        <v>1726348</v>
      </c>
      <c r="M39" s="142">
        <f>SUM(M6:M38)</f>
        <v>1096997</v>
      </c>
      <c r="N39" s="143">
        <f>SUM(N6:N38)</f>
        <v>681513</v>
      </c>
      <c r="O39" s="138" t="s">
        <v>298</v>
      </c>
      <c r="P39" s="138" t="s">
        <v>75</v>
      </c>
      <c r="Q39" s="138" t="s">
        <v>76</v>
      </c>
      <c r="R39" s="138" t="s">
        <v>77</v>
      </c>
      <c r="S39" s="138" t="s">
        <v>299</v>
      </c>
      <c r="T39" s="138" t="s">
        <v>410</v>
      </c>
      <c r="U39" s="138"/>
    </row>
    <row r="40" spans="1:21" x14ac:dyDescent="0.3">
      <c r="M40" s="124"/>
    </row>
    <row r="41" spans="1:21" x14ac:dyDescent="0.3">
      <c r="M41" s="124"/>
    </row>
  </sheetData>
  <autoFilter ref="A6:P39" xr:uid="{00000000-0009-0000-0000-000002000000}"/>
  <mergeCells count="9">
    <mergeCell ref="A8:A18"/>
    <mergeCell ref="L5:N5"/>
    <mergeCell ref="B8:B18"/>
    <mergeCell ref="B21:B23"/>
    <mergeCell ref="A37:A38"/>
    <mergeCell ref="B37:B38"/>
    <mergeCell ref="B30:B36"/>
    <mergeCell ref="A31:A36"/>
    <mergeCell ref="A21:A23"/>
  </mergeCells>
  <pageMargins left="0.7" right="0.7" top="0.75" bottom="0.75" header="0.3" footer="0.3"/>
  <pageSetup scale="8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"/>
  <sheetViews>
    <sheetView showGridLines="0" topLeftCell="A2" workbookViewId="0">
      <selection activeCell="B7" sqref="B7:B13"/>
    </sheetView>
  </sheetViews>
  <sheetFormatPr defaultColWidth="8.85546875" defaultRowHeight="16.5" x14ac:dyDescent="0.3"/>
  <cols>
    <col min="1" max="1" width="22.42578125" style="6" customWidth="1"/>
    <col min="2" max="2" width="34" style="6" customWidth="1"/>
    <col min="3" max="3" width="60.7109375" style="6" customWidth="1"/>
    <col min="4" max="4" width="46.5703125" style="6" customWidth="1"/>
    <col min="5" max="5" width="26.5703125" style="6" customWidth="1"/>
    <col min="6" max="6" width="24.28515625" style="6" customWidth="1"/>
    <col min="7" max="7" width="11.85546875" style="6" customWidth="1"/>
    <col min="8" max="8" width="14" style="7" customWidth="1"/>
    <col min="9" max="10" width="17.140625" style="6" customWidth="1"/>
    <col min="11" max="15" width="19.7109375" style="6" customWidth="1"/>
    <col min="16" max="16" width="9" style="6" customWidth="1"/>
    <col min="17" max="17" width="38.5703125" style="6" customWidth="1"/>
    <col min="18" max="18" width="27" style="6" customWidth="1"/>
    <col min="19" max="19" width="41.7109375" style="6" customWidth="1"/>
    <col min="20" max="20" width="18.140625" style="6" customWidth="1"/>
    <col min="21" max="21" width="200.5703125" style="6" customWidth="1"/>
    <col min="22" max="22" width="18.85546875" style="6" customWidth="1"/>
    <col min="23" max="16384" width="8.85546875" style="6"/>
  </cols>
  <sheetData>
    <row r="1" spans="1:22" s="195" customFormat="1" ht="18" customHeight="1" x14ac:dyDescent="0.25">
      <c r="A1" s="195" t="s">
        <v>0</v>
      </c>
    </row>
    <row r="2" spans="1:22" s="165" customFormat="1" ht="16.149999999999999" customHeight="1" x14ac:dyDescent="0.35">
      <c r="A2" s="165" t="s">
        <v>411</v>
      </c>
    </row>
    <row r="3" spans="1:22" s="129" customFormat="1" ht="16.149999999999999" customHeight="1" x14ac:dyDescent="0.25">
      <c r="A3" s="129" t="s">
        <v>29</v>
      </c>
    </row>
    <row r="4" spans="1:22" s="5" customFormat="1" ht="16.149999999999999" customHeight="1" x14ac:dyDescent="0.35">
      <c r="A4" s="5" t="s">
        <v>412</v>
      </c>
      <c r="H4" s="167"/>
    </row>
    <row r="5" spans="1:22" s="5" customFormat="1" ht="16.899999999999999" customHeight="1" thickBot="1" x14ac:dyDescent="0.4">
      <c r="H5" s="167"/>
    </row>
    <row r="6" spans="1:22" s="5" customFormat="1" ht="28.15" customHeight="1" thickBot="1" x14ac:dyDescent="0.4">
      <c r="A6" s="183" t="s">
        <v>31</v>
      </c>
      <c r="B6" s="73" t="s">
        <v>32</v>
      </c>
      <c r="C6" s="72" t="s">
        <v>33</v>
      </c>
      <c r="D6" s="73" t="s">
        <v>34</v>
      </c>
      <c r="E6" s="73" t="s">
        <v>35</v>
      </c>
      <c r="F6" s="73" t="s">
        <v>36</v>
      </c>
      <c r="G6" s="73" t="s">
        <v>37</v>
      </c>
      <c r="H6" s="74" t="s">
        <v>38</v>
      </c>
      <c r="I6" s="4" t="s">
        <v>39</v>
      </c>
      <c r="J6" s="4" t="s">
        <v>291</v>
      </c>
      <c r="K6" s="73" t="s">
        <v>41</v>
      </c>
      <c r="L6" s="73" t="s">
        <v>42</v>
      </c>
      <c r="M6" s="73" t="s">
        <v>43</v>
      </c>
      <c r="N6" s="73" t="s">
        <v>44</v>
      </c>
      <c r="O6" s="73" t="s">
        <v>45</v>
      </c>
      <c r="P6" s="73" t="s">
        <v>46</v>
      </c>
      <c r="Q6" s="73" t="s">
        <v>47</v>
      </c>
      <c r="R6" s="73" t="s">
        <v>48</v>
      </c>
      <c r="S6" s="73" t="s">
        <v>49</v>
      </c>
      <c r="T6" s="73" t="s">
        <v>2</v>
      </c>
      <c r="U6" s="73" t="s">
        <v>50</v>
      </c>
      <c r="V6" s="73" t="s">
        <v>51</v>
      </c>
    </row>
    <row r="7" spans="1:22" ht="43.15" customHeight="1" thickBot="1" x14ac:dyDescent="0.35">
      <c r="A7" s="404" t="s">
        <v>292</v>
      </c>
      <c r="B7" s="433" t="s">
        <v>413</v>
      </c>
      <c r="C7" s="227" t="s">
        <v>414</v>
      </c>
      <c r="D7" s="88" t="s">
        <v>415</v>
      </c>
      <c r="E7" s="14" t="s">
        <v>314</v>
      </c>
      <c r="F7" s="78" t="s">
        <v>297</v>
      </c>
      <c r="G7" s="18">
        <v>3</v>
      </c>
      <c r="H7" s="228">
        <v>7893.33</v>
      </c>
      <c r="I7" s="229">
        <f t="shared" ref="I7:I24" si="0">G7*H7</f>
        <v>23679.989999999998</v>
      </c>
      <c r="J7" s="229">
        <f t="shared" ref="J7:J24" si="1">I7/25</f>
        <v>947.19959999999992</v>
      </c>
      <c r="K7" s="18" t="s">
        <v>4</v>
      </c>
      <c r="L7" s="228">
        <f>I7</f>
        <v>23679.989999999998</v>
      </c>
      <c r="M7" s="228"/>
      <c r="N7" s="228"/>
      <c r="O7" s="228"/>
      <c r="P7" s="228" t="s">
        <v>304</v>
      </c>
      <c r="Q7" s="228" t="s">
        <v>123</v>
      </c>
      <c r="R7" s="228" t="s">
        <v>124</v>
      </c>
      <c r="S7" s="228" t="s">
        <v>125</v>
      </c>
      <c r="T7" s="228" t="s">
        <v>19</v>
      </c>
      <c r="U7" s="228" t="s">
        <v>416</v>
      </c>
      <c r="V7" s="228" t="s">
        <v>613</v>
      </c>
    </row>
    <row r="8" spans="1:22" ht="50.45" customHeight="1" x14ac:dyDescent="0.3">
      <c r="A8" s="399"/>
      <c r="B8" s="434"/>
      <c r="C8" s="227" t="s">
        <v>417</v>
      </c>
      <c r="D8" s="58" t="s">
        <v>418</v>
      </c>
      <c r="E8" s="14" t="s">
        <v>322</v>
      </c>
      <c r="F8" s="78" t="s">
        <v>297</v>
      </c>
      <c r="G8" s="18">
        <v>6</v>
      </c>
      <c r="H8" s="228">
        <v>43350</v>
      </c>
      <c r="I8" s="229">
        <f t="shared" si="0"/>
        <v>260100</v>
      </c>
      <c r="J8" s="229">
        <f t="shared" si="1"/>
        <v>10404</v>
      </c>
      <c r="K8" s="18" t="s">
        <v>405</v>
      </c>
      <c r="L8" s="228">
        <f>I8/2</f>
        <v>130050</v>
      </c>
      <c r="M8" s="228"/>
      <c r="N8" s="228">
        <v>130050</v>
      </c>
      <c r="O8" s="228"/>
      <c r="P8" s="228" t="s">
        <v>329</v>
      </c>
      <c r="Q8" s="228" t="s">
        <v>58</v>
      </c>
      <c r="R8" s="228" t="s">
        <v>59</v>
      </c>
      <c r="S8" s="228" t="s">
        <v>60</v>
      </c>
      <c r="T8" s="228" t="s">
        <v>19</v>
      </c>
      <c r="U8" s="228" t="s">
        <v>419</v>
      </c>
      <c r="V8" s="228" t="s">
        <v>658</v>
      </c>
    </row>
    <row r="9" spans="1:22" ht="37.15" customHeight="1" x14ac:dyDescent="0.3">
      <c r="A9" s="399"/>
      <c r="B9" s="434"/>
      <c r="C9" s="227" t="s">
        <v>420</v>
      </c>
      <c r="D9" s="58" t="s">
        <v>421</v>
      </c>
      <c r="E9" s="14" t="s">
        <v>296</v>
      </c>
      <c r="F9" s="78" t="s">
        <v>297</v>
      </c>
      <c r="G9" s="18">
        <v>1</v>
      </c>
      <c r="H9" s="228">
        <v>20000</v>
      </c>
      <c r="I9" s="229">
        <f t="shared" si="0"/>
        <v>20000</v>
      </c>
      <c r="J9" s="229">
        <f t="shared" si="1"/>
        <v>800</v>
      </c>
      <c r="K9" s="18" t="s">
        <v>4</v>
      </c>
      <c r="L9" s="228">
        <f>I9</f>
        <v>20000</v>
      </c>
      <c r="M9" s="228"/>
      <c r="N9" s="228"/>
      <c r="O9" s="228"/>
      <c r="P9" s="228" t="s">
        <v>304</v>
      </c>
      <c r="Q9" s="228" t="s">
        <v>123</v>
      </c>
      <c r="R9" s="228" t="s">
        <v>124</v>
      </c>
      <c r="S9" s="228" t="s">
        <v>125</v>
      </c>
      <c r="T9" s="228" t="s">
        <v>19</v>
      </c>
      <c r="U9" s="228" t="s">
        <v>422</v>
      </c>
      <c r="V9" s="228" t="s">
        <v>613</v>
      </c>
    </row>
    <row r="10" spans="1:22" ht="33.6" customHeight="1" x14ac:dyDescent="0.3">
      <c r="A10" s="399"/>
      <c r="B10" s="434"/>
      <c r="C10" s="227" t="s">
        <v>423</v>
      </c>
      <c r="D10" s="146" t="s">
        <v>424</v>
      </c>
      <c r="E10" s="14" t="s">
        <v>425</v>
      </c>
      <c r="F10" s="78" t="s">
        <v>297</v>
      </c>
      <c r="G10" s="18"/>
      <c r="H10" s="228"/>
      <c r="I10" s="229">
        <f t="shared" si="0"/>
        <v>0</v>
      </c>
      <c r="J10" s="229">
        <f t="shared" si="1"/>
        <v>0</v>
      </c>
      <c r="K10" s="18" t="s">
        <v>426</v>
      </c>
      <c r="L10" s="228"/>
      <c r="M10" s="228"/>
      <c r="N10" s="228"/>
      <c r="O10" s="228"/>
      <c r="P10" s="228" t="s">
        <v>298</v>
      </c>
      <c r="Q10" s="228" t="s">
        <v>58</v>
      </c>
      <c r="R10" s="228" t="s">
        <v>76</v>
      </c>
      <c r="S10" s="228"/>
      <c r="T10" s="228" t="s">
        <v>19</v>
      </c>
      <c r="U10" s="228" t="s">
        <v>427</v>
      </c>
      <c r="V10" s="228" t="s">
        <v>658</v>
      </c>
    </row>
    <row r="11" spans="1:22" ht="50.45" customHeight="1" x14ac:dyDescent="0.3">
      <c r="A11" s="399"/>
      <c r="B11" s="434"/>
      <c r="C11" s="227" t="s">
        <v>428</v>
      </c>
      <c r="D11" s="146" t="s">
        <v>429</v>
      </c>
      <c r="E11" s="14" t="s">
        <v>355</v>
      </c>
      <c r="F11" s="78" t="s">
        <v>297</v>
      </c>
      <c r="G11" s="18">
        <v>3</v>
      </c>
      <c r="H11" s="228">
        <v>19500</v>
      </c>
      <c r="I11" s="229">
        <f t="shared" si="0"/>
        <v>58500</v>
      </c>
      <c r="J11" s="229">
        <f t="shared" si="1"/>
        <v>2340</v>
      </c>
      <c r="K11" s="18" t="s">
        <v>4</v>
      </c>
      <c r="L11" s="228">
        <f>I11</f>
        <v>58500</v>
      </c>
      <c r="M11" s="228"/>
      <c r="N11" s="228"/>
      <c r="O11" s="228"/>
      <c r="P11" s="228" t="s">
        <v>315</v>
      </c>
      <c r="Q11" s="228" t="s">
        <v>82</v>
      </c>
      <c r="R11" s="228" t="s">
        <v>83</v>
      </c>
      <c r="S11" s="228" t="s">
        <v>84</v>
      </c>
      <c r="T11" s="228" t="s">
        <v>19</v>
      </c>
      <c r="U11" s="228" t="s">
        <v>430</v>
      </c>
      <c r="V11" s="228" t="s">
        <v>612</v>
      </c>
    </row>
    <row r="12" spans="1:22" ht="50.45" customHeight="1" thickBot="1" x14ac:dyDescent="0.35">
      <c r="A12" s="401"/>
      <c r="B12" s="434"/>
      <c r="C12" s="227" t="s">
        <v>431</v>
      </c>
      <c r="D12" s="146" t="s">
        <v>432</v>
      </c>
      <c r="E12" s="14" t="s">
        <v>355</v>
      </c>
      <c r="F12" s="78" t="s">
        <v>297</v>
      </c>
      <c r="G12" s="66">
        <v>4</v>
      </c>
      <c r="H12" s="230">
        <v>21225</v>
      </c>
      <c r="I12" s="231">
        <f t="shared" si="0"/>
        <v>84900</v>
      </c>
      <c r="J12" s="231">
        <f t="shared" si="1"/>
        <v>3396</v>
      </c>
      <c r="K12" s="58" t="s">
        <v>426</v>
      </c>
      <c r="L12" s="228">
        <f>I12/4</f>
        <v>21225</v>
      </c>
      <c r="M12" s="228">
        <v>21225</v>
      </c>
      <c r="N12" s="228">
        <v>21225</v>
      </c>
      <c r="O12" s="228">
        <v>21225</v>
      </c>
      <c r="P12" s="228" t="s">
        <v>315</v>
      </c>
      <c r="Q12" s="228" t="s">
        <v>82</v>
      </c>
      <c r="R12" s="228" t="s">
        <v>83</v>
      </c>
      <c r="S12" s="228" t="s">
        <v>84</v>
      </c>
      <c r="T12" s="228" t="s">
        <v>19</v>
      </c>
      <c r="U12" s="228" t="s">
        <v>433</v>
      </c>
      <c r="V12" s="228" t="s">
        <v>612</v>
      </c>
    </row>
    <row r="13" spans="1:22" ht="47.45" customHeight="1" thickBot="1" x14ac:dyDescent="0.35">
      <c r="A13" s="54" t="s">
        <v>357</v>
      </c>
      <c r="B13" s="435"/>
      <c r="C13" s="77" t="s">
        <v>434</v>
      </c>
      <c r="D13" s="150" t="s">
        <v>435</v>
      </c>
      <c r="E13" s="14" t="s">
        <v>205</v>
      </c>
      <c r="F13" s="78" t="s">
        <v>297</v>
      </c>
      <c r="G13" s="66">
        <v>2</v>
      </c>
      <c r="H13" s="230">
        <v>8800</v>
      </c>
      <c r="I13" s="231">
        <f t="shared" si="0"/>
        <v>17600</v>
      </c>
      <c r="J13" s="231">
        <f t="shared" si="1"/>
        <v>704</v>
      </c>
      <c r="K13" s="66" t="s">
        <v>234</v>
      </c>
      <c r="L13" s="228"/>
      <c r="M13" s="228">
        <f>I13/2</f>
        <v>8800</v>
      </c>
      <c r="N13" s="228">
        <v>8800</v>
      </c>
      <c r="O13" s="228"/>
      <c r="P13" s="228" t="s">
        <v>390</v>
      </c>
      <c r="Q13" s="228" t="s">
        <v>183</v>
      </c>
      <c r="R13" s="228" t="s">
        <v>184</v>
      </c>
      <c r="S13" s="228" t="s">
        <v>185</v>
      </c>
      <c r="T13" s="228" t="s">
        <v>19</v>
      </c>
      <c r="U13" s="228" t="s">
        <v>436</v>
      </c>
      <c r="V13" s="228" t="s">
        <v>659</v>
      </c>
    </row>
    <row r="14" spans="1:22" ht="28.9" customHeight="1" thickBot="1" x14ac:dyDescent="0.35">
      <c r="A14" s="437" t="s">
        <v>292</v>
      </c>
      <c r="B14" s="438" t="s">
        <v>437</v>
      </c>
      <c r="C14" s="112" t="s">
        <v>438</v>
      </c>
      <c r="D14" s="80" t="s">
        <v>439</v>
      </c>
      <c r="E14" s="81" t="s">
        <v>296</v>
      </c>
      <c r="F14" s="145" t="s">
        <v>297</v>
      </c>
      <c r="G14" s="30">
        <v>1</v>
      </c>
      <c r="H14" s="232">
        <v>25720</v>
      </c>
      <c r="I14" s="233">
        <f t="shared" si="0"/>
        <v>25720</v>
      </c>
      <c r="J14" s="233">
        <f t="shared" si="1"/>
        <v>1028.8</v>
      </c>
      <c r="K14" s="30" t="s">
        <v>4</v>
      </c>
      <c r="L14" s="232">
        <f>I14</f>
        <v>25720</v>
      </c>
      <c r="M14" s="232"/>
      <c r="N14" s="232"/>
      <c r="O14" s="232"/>
      <c r="P14" s="232" t="s">
        <v>298</v>
      </c>
      <c r="Q14" s="232" t="s">
        <v>58</v>
      </c>
      <c r="R14" s="232" t="s">
        <v>76</v>
      </c>
      <c r="S14" s="232"/>
      <c r="T14" s="232" t="s">
        <v>19</v>
      </c>
      <c r="U14" s="232" t="s">
        <v>440</v>
      </c>
      <c r="V14" s="232" t="s">
        <v>614</v>
      </c>
    </row>
    <row r="15" spans="1:22" ht="29.45" customHeight="1" thickBot="1" x14ac:dyDescent="0.35">
      <c r="A15" s="401"/>
      <c r="B15" s="434"/>
      <c r="C15" s="112" t="s">
        <v>441</v>
      </c>
      <c r="D15" s="80" t="s">
        <v>442</v>
      </c>
      <c r="E15" s="81" t="s">
        <v>296</v>
      </c>
      <c r="F15" s="145" t="s">
        <v>297</v>
      </c>
      <c r="G15" s="30">
        <v>3</v>
      </c>
      <c r="H15" s="232">
        <v>21200</v>
      </c>
      <c r="I15" s="233">
        <f t="shared" si="0"/>
        <v>63600</v>
      </c>
      <c r="J15" s="233">
        <f t="shared" si="1"/>
        <v>2544</v>
      </c>
      <c r="K15" s="30" t="s">
        <v>443</v>
      </c>
      <c r="L15" s="232">
        <f>I15/3</f>
        <v>21200</v>
      </c>
      <c r="M15" s="232"/>
      <c r="N15" s="232">
        <v>21200</v>
      </c>
      <c r="O15" s="232">
        <v>21200</v>
      </c>
      <c r="P15" s="232" t="s">
        <v>304</v>
      </c>
      <c r="Q15" s="232" t="s">
        <v>123</v>
      </c>
      <c r="R15" s="232" t="s">
        <v>124</v>
      </c>
      <c r="S15" s="232" t="s">
        <v>125</v>
      </c>
      <c r="T15" s="232" t="s">
        <v>19</v>
      </c>
      <c r="U15" s="232" t="s">
        <v>444</v>
      </c>
      <c r="V15" s="232" t="s">
        <v>642</v>
      </c>
    </row>
    <row r="16" spans="1:22" ht="43.9" customHeight="1" thickBot="1" x14ac:dyDescent="0.35">
      <c r="A16" s="65" t="s">
        <v>357</v>
      </c>
      <c r="B16" s="434"/>
      <c r="C16" s="112" t="s">
        <v>445</v>
      </c>
      <c r="D16" s="80" t="s">
        <v>446</v>
      </c>
      <c r="E16" s="81" t="s">
        <v>205</v>
      </c>
      <c r="F16" s="145" t="s">
        <v>297</v>
      </c>
      <c r="G16" s="30">
        <v>4</v>
      </c>
      <c r="H16" s="232">
        <v>13650</v>
      </c>
      <c r="I16" s="233">
        <f t="shared" si="0"/>
        <v>54600</v>
      </c>
      <c r="J16" s="233">
        <f t="shared" si="1"/>
        <v>2184</v>
      </c>
      <c r="K16" s="30" t="s">
        <v>426</v>
      </c>
      <c r="L16" s="232">
        <f>I16/4</f>
        <v>13650</v>
      </c>
      <c r="M16" s="232">
        <v>13650</v>
      </c>
      <c r="N16" s="232">
        <v>13650</v>
      </c>
      <c r="O16" s="232">
        <v>13650</v>
      </c>
      <c r="P16" s="232" t="s">
        <v>298</v>
      </c>
      <c r="Q16" s="232" t="s">
        <v>183</v>
      </c>
      <c r="R16" s="232" t="s">
        <v>76</v>
      </c>
      <c r="S16" s="232"/>
      <c r="T16" s="232" t="s">
        <v>19</v>
      </c>
      <c r="U16" s="232" t="s">
        <v>447</v>
      </c>
      <c r="V16" s="232" t="s">
        <v>660</v>
      </c>
    </row>
    <row r="17" spans="1:22" ht="28.9" customHeight="1" x14ac:dyDescent="0.3">
      <c r="A17" s="432" t="s">
        <v>292</v>
      </c>
      <c r="B17" s="434"/>
      <c r="C17" s="112" t="s">
        <v>448</v>
      </c>
      <c r="D17" s="80" t="s">
        <v>449</v>
      </c>
      <c r="E17" s="81" t="s">
        <v>425</v>
      </c>
      <c r="F17" s="145" t="s">
        <v>297</v>
      </c>
      <c r="G17" s="30">
        <v>1</v>
      </c>
      <c r="H17" s="232">
        <v>55000</v>
      </c>
      <c r="I17" s="233">
        <f t="shared" si="0"/>
        <v>55000</v>
      </c>
      <c r="J17" s="233">
        <f t="shared" si="1"/>
        <v>2200</v>
      </c>
      <c r="K17" s="30" t="s">
        <v>5</v>
      </c>
      <c r="L17" s="232"/>
      <c r="M17" s="232">
        <f>I17</f>
        <v>55000</v>
      </c>
      <c r="N17" s="232"/>
      <c r="O17" s="232"/>
      <c r="P17" s="232" t="s">
        <v>315</v>
      </c>
      <c r="Q17" s="232" t="s">
        <v>82</v>
      </c>
      <c r="R17" s="232" t="s">
        <v>83</v>
      </c>
      <c r="S17" s="232" t="s">
        <v>84</v>
      </c>
      <c r="T17" s="232" t="s">
        <v>19</v>
      </c>
      <c r="U17" s="232" t="s">
        <v>450</v>
      </c>
      <c r="V17" s="232" t="s">
        <v>615</v>
      </c>
    </row>
    <row r="18" spans="1:22" ht="40.9" customHeight="1" x14ac:dyDescent="0.3">
      <c r="A18" s="399"/>
      <c r="B18" s="434"/>
      <c r="C18" s="112" t="s">
        <v>451</v>
      </c>
      <c r="D18" s="84" t="s">
        <v>452</v>
      </c>
      <c r="E18" s="85" t="s">
        <v>314</v>
      </c>
      <c r="F18" s="145" t="s">
        <v>297</v>
      </c>
      <c r="G18" s="30">
        <v>3</v>
      </c>
      <c r="H18" s="232">
        <v>12680</v>
      </c>
      <c r="I18" s="233">
        <f t="shared" si="0"/>
        <v>38040</v>
      </c>
      <c r="J18" s="233">
        <f t="shared" si="1"/>
        <v>1521.6</v>
      </c>
      <c r="K18" s="30" t="s">
        <v>4</v>
      </c>
      <c r="L18" s="232">
        <f>I18</f>
        <v>38040</v>
      </c>
      <c r="M18" s="232"/>
      <c r="N18" s="232"/>
      <c r="O18" s="232"/>
      <c r="P18" s="232" t="s">
        <v>298</v>
      </c>
      <c r="Q18" s="232" t="s">
        <v>58</v>
      </c>
      <c r="R18" s="232" t="s">
        <v>76</v>
      </c>
      <c r="S18" s="232"/>
      <c r="T18" s="232" t="s">
        <v>19</v>
      </c>
      <c r="U18" s="232" t="s">
        <v>453</v>
      </c>
      <c r="V18" s="232" t="s">
        <v>614</v>
      </c>
    </row>
    <row r="19" spans="1:22" ht="25.15" customHeight="1" x14ac:dyDescent="0.3">
      <c r="A19" s="399"/>
      <c r="B19" s="434"/>
      <c r="C19" s="112" t="s">
        <v>454</v>
      </c>
      <c r="D19" s="30" t="s">
        <v>455</v>
      </c>
      <c r="E19" s="81" t="s">
        <v>322</v>
      </c>
      <c r="F19" s="145" t="s">
        <v>297</v>
      </c>
      <c r="G19" s="30">
        <v>5</v>
      </c>
      <c r="H19" s="232">
        <v>43350</v>
      </c>
      <c r="I19" s="233">
        <f t="shared" si="0"/>
        <v>216750</v>
      </c>
      <c r="J19" s="233">
        <f t="shared" si="1"/>
        <v>8670</v>
      </c>
      <c r="K19" s="30" t="s">
        <v>5</v>
      </c>
      <c r="L19" s="232"/>
      <c r="M19" s="232">
        <f>I19</f>
        <v>216750</v>
      </c>
      <c r="N19" s="232"/>
      <c r="O19" s="232"/>
      <c r="P19" s="232" t="s">
        <v>329</v>
      </c>
      <c r="Q19" s="232" t="s">
        <v>58</v>
      </c>
      <c r="R19" s="232" t="s">
        <v>59</v>
      </c>
      <c r="S19" s="232" t="s">
        <v>60</v>
      </c>
      <c r="T19" s="232" t="s">
        <v>19</v>
      </c>
      <c r="U19" s="232" t="s">
        <v>456</v>
      </c>
      <c r="V19" s="232" t="s">
        <v>614</v>
      </c>
    </row>
    <row r="20" spans="1:22" ht="29.45" customHeight="1" thickBot="1" x14ac:dyDescent="0.35">
      <c r="A20" s="399"/>
      <c r="B20" s="434"/>
      <c r="C20" s="112" t="s">
        <v>457</v>
      </c>
      <c r="D20" s="80" t="s">
        <v>458</v>
      </c>
      <c r="E20" s="81" t="s">
        <v>296</v>
      </c>
      <c r="F20" s="80"/>
      <c r="G20" s="30">
        <v>4</v>
      </c>
      <c r="H20" s="232">
        <v>6185</v>
      </c>
      <c r="I20" s="234">
        <f t="shared" si="0"/>
        <v>24740</v>
      </c>
      <c r="J20" s="234">
        <f t="shared" si="1"/>
        <v>989.6</v>
      </c>
      <c r="K20" s="30" t="s">
        <v>426</v>
      </c>
      <c r="L20" s="232">
        <f>I20/4</f>
        <v>6185</v>
      </c>
      <c r="M20" s="232">
        <v>6185</v>
      </c>
      <c r="N20" s="232">
        <v>6185</v>
      </c>
      <c r="O20" s="232">
        <v>6185</v>
      </c>
      <c r="P20" s="232" t="s">
        <v>304</v>
      </c>
      <c r="Q20" s="232" t="s">
        <v>123</v>
      </c>
      <c r="R20" s="232" t="s">
        <v>124</v>
      </c>
      <c r="S20" s="232" t="s">
        <v>125</v>
      </c>
      <c r="T20" s="232" t="s">
        <v>19</v>
      </c>
      <c r="U20" s="232" t="s">
        <v>459</v>
      </c>
      <c r="V20" s="232" t="s">
        <v>642</v>
      </c>
    </row>
    <row r="21" spans="1:22" ht="29.45" customHeight="1" thickBot="1" x14ac:dyDescent="0.35">
      <c r="A21" s="65" t="s">
        <v>357</v>
      </c>
      <c r="B21" s="435"/>
      <c r="C21" s="112" t="s">
        <v>460</v>
      </c>
      <c r="D21" s="68" t="s">
        <v>435</v>
      </c>
      <c r="E21" s="85" t="s">
        <v>205</v>
      </c>
      <c r="F21" s="82" t="s">
        <v>297</v>
      </c>
      <c r="G21" s="30">
        <v>2</v>
      </c>
      <c r="H21" s="232">
        <v>8800</v>
      </c>
      <c r="I21" s="234">
        <f t="shared" si="0"/>
        <v>17600</v>
      </c>
      <c r="J21" s="234">
        <f t="shared" si="1"/>
        <v>704</v>
      </c>
      <c r="K21" s="30" t="s">
        <v>234</v>
      </c>
      <c r="L21" s="232"/>
      <c r="M21" s="232">
        <f>I21/2</f>
        <v>8800</v>
      </c>
      <c r="N21" s="232">
        <v>8800</v>
      </c>
      <c r="O21" s="232"/>
      <c r="P21" s="232" t="s">
        <v>390</v>
      </c>
      <c r="Q21" s="232" t="s">
        <v>183</v>
      </c>
      <c r="R21" s="232" t="s">
        <v>184</v>
      </c>
      <c r="S21" s="232" t="s">
        <v>185</v>
      </c>
      <c r="T21" s="232" t="s">
        <v>19</v>
      </c>
      <c r="U21" s="232" t="s">
        <v>436</v>
      </c>
      <c r="V21" s="232" t="s">
        <v>660</v>
      </c>
    </row>
    <row r="22" spans="1:22" ht="43.15" customHeight="1" x14ac:dyDescent="0.3">
      <c r="A22" s="235" t="s">
        <v>357</v>
      </c>
      <c r="B22" s="236" t="s">
        <v>461</v>
      </c>
      <c r="C22" s="227" t="s">
        <v>462</v>
      </c>
      <c r="D22" s="78" t="s">
        <v>463</v>
      </c>
      <c r="E22" s="237" t="s">
        <v>205</v>
      </c>
      <c r="F22" s="87" t="s">
        <v>297</v>
      </c>
      <c r="G22" s="18">
        <v>2</v>
      </c>
      <c r="H22" s="228">
        <v>20000</v>
      </c>
      <c r="I22" s="173">
        <f t="shared" si="0"/>
        <v>40000</v>
      </c>
      <c r="J22" s="173">
        <f t="shared" si="1"/>
        <v>1600</v>
      </c>
      <c r="K22" s="18" t="s">
        <v>234</v>
      </c>
      <c r="L22" s="228"/>
      <c r="M22" s="228">
        <f>I22/2</f>
        <v>20000</v>
      </c>
      <c r="N22" s="228">
        <v>20000</v>
      </c>
      <c r="O22" s="228"/>
      <c r="P22" s="228" t="s">
        <v>298</v>
      </c>
      <c r="Q22" s="228" t="s">
        <v>183</v>
      </c>
      <c r="R22" s="228" t="s">
        <v>76</v>
      </c>
      <c r="S22" s="228" t="s">
        <v>77</v>
      </c>
      <c r="T22" s="228" t="s">
        <v>19</v>
      </c>
      <c r="U22" s="228" t="s">
        <v>464</v>
      </c>
      <c r="V22" s="228" t="s">
        <v>661</v>
      </c>
    </row>
    <row r="23" spans="1:22" ht="26.45" customHeight="1" x14ac:dyDescent="0.3">
      <c r="A23" s="436" t="s">
        <v>292</v>
      </c>
      <c r="B23" s="429" t="s">
        <v>662</v>
      </c>
      <c r="C23" s="112" t="s">
        <v>465</v>
      </c>
      <c r="D23" s="80" t="s">
        <v>466</v>
      </c>
      <c r="E23" s="85" t="s">
        <v>425</v>
      </c>
      <c r="F23" s="82" t="s">
        <v>297</v>
      </c>
      <c r="G23" s="30">
        <v>2</v>
      </c>
      <c r="H23" s="232">
        <v>19060</v>
      </c>
      <c r="I23" s="234">
        <f t="shared" si="0"/>
        <v>38120</v>
      </c>
      <c r="J23" s="234">
        <f t="shared" si="1"/>
        <v>1524.8</v>
      </c>
      <c r="K23" s="30" t="s">
        <v>234</v>
      </c>
      <c r="L23" s="30"/>
      <c r="M23" s="32">
        <f>I23/2</f>
        <v>19060</v>
      </c>
      <c r="N23" s="31">
        <v>19060</v>
      </c>
      <c r="O23" s="31"/>
      <c r="P23" s="31" t="s">
        <v>298</v>
      </c>
      <c r="Q23" s="31" t="s">
        <v>58</v>
      </c>
      <c r="R23" s="31" t="s">
        <v>76</v>
      </c>
      <c r="S23" s="31" t="s">
        <v>77</v>
      </c>
      <c r="T23" s="31" t="s">
        <v>19</v>
      </c>
      <c r="U23" s="31" t="s">
        <v>467</v>
      </c>
      <c r="V23" s="31" t="s">
        <v>664</v>
      </c>
    </row>
    <row r="24" spans="1:22" ht="42" customHeight="1" x14ac:dyDescent="0.3">
      <c r="A24" s="430"/>
      <c r="B24" s="430"/>
      <c r="C24" s="112" t="s">
        <v>468</v>
      </c>
      <c r="D24" s="80" t="s">
        <v>469</v>
      </c>
      <c r="E24" s="81" t="s">
        <v>322</v>
      </c>
      <c r="F24" s="82" t="s">
        <v>297</v>
      </c>
      <c r="G24" s="30">
        <v>4</v>
      </c>
      <c r="H24" s="31">
        <v>19520</v>
      </c>
      <c r="I24" s="234">
        <f t="shared" si="0"/>
        <v>78080</v>
      </c>
      <c r="J24" s="234">
        <f t="shared" si="1"/>
        <v>3123.2</v>
      </c>
      <c r="K24" s="30" t="s">
        <v>426</v>
      </c>
      <c r="L24" s="32">
        <f>I24/4</f>
        <v>19520</v>
      </c>
      <c r="M24" s="30">
        <v>19520</v>
      </c>
      <c r="N24" s="31">
        <v>19520</v>
      </c>
      <c r="O24" s="31">
        <v>19520</v>
      </c>
      <c r="P24" s="31" t="s">
        <v>298</v>
      </c>
      <c r="Q24" s="31" t="s">
        <v>58</v>
      </c>
      <c r="R24" s="31" t="s">
        <v>76</v>
      </c>
      <c r="S24" s="31" t="s">
        <v>77</v>
      </c>
      <c r="T24" s="31" t="s">
        <v>19</v>
      </c>
      <c r="U24" s="31" t="s">
        <v>470</v>
      </c>
      <c r="V24" s="31" t="s">
        <v>664</v>
      </c>
    </row>
    <row r="25" spans="1:22" ht="19.899999999999999" customHeight="1" x14ac:dyDescent="0.3">
      <c r="A25" s="200"/>
      <c r="B25" s="201" t="s">
        <v>471</v>
      </c>
      <c r="C25" s="202"/>
      <c r="D25" s="188"/>
      <c r="E25" s="203"/>
      <c r="F25" s="188"/>
      <c r="G25" s="188"/>
      <c r="H25" s="199"/>
      <c r="I25" s="199">
        <f t="shared" ref="I25:O25" si="2">SUM(I7:I24)</f>
        <v>1117029.99</v>
      </c>
      <c r="J25" s="199">
        <f t="shared" si="2"/>
        <v>44681.1996</v>
      </c>
      <c r="K25" s="199">
        <f t="shared" si="2"/>
        <v>0</v>
      </c>
      <c r="L25" s="199">
        <f t="shared" si="2"/>
        <v>377769.99</v>
      </c>
      <c r="M25" s="199">
        <f t="shared" si="2"/>
        <v>388990</v>
      </c>
      <c r="N25" s="199">
        <f t="shared" si="2"/>
        <v>268490</v>
      </c>
      <c r="O25" s="199">
        <f t="shared" si="2"/>
        <v>81780</v>
      </c>
      <c r="P25" s="199" t="s">
        <v>298</v>
      </c>
      <c r="Q25" s="199" t="s">
        <v>58</v>
      </c>
      <c r="R25" s="199" t="s">
        <v>76</v>
      </c>
      <c r="S25" s="199" t="s">
        <v>77</v>
      </c>
      <c r="T25" s="199" t="s">
        <v>19</v>
      </c>
      <c r="U25" s="199" t="s">
        <v>472</v>
      </c>
      <c r="V25" s="199"/>
    </row>
    <row r="26" spans="1:22" x14ac:dyDescent="0.3">
      <c r="A26" s="431" t="s">
        <v>473</v>
      </c>
      <c r="B26" s="238" t="s">
        <v>663</v>
      </c>
      <c r="C26" s="227" t="s">
        <v>474</v>
      </c>
      <c r="D26" s="18"/>
      <c r="E26" s="89"/>
      <c r="F26" s="18"/>
      <c r="G26" s="18"/>
      <c r="H26" s="19"/>
      <c r="I26" s="173">
        <f>7%*I25</f>
        <v>78192.099300000002</v>
      </c>
      <c r="J26" s="173">
        <f>7%*J25</f>
        <v>3127.6839720000003</v>
      </c>
      <c r="K26" s="18" t="s">
        <v>426</v>
      </c>
      <c r="L26" s="19">
        <f>7%*L25</f>
        <v>26443.899300000001</v>
      </c>
      <c r="M26" s="19">
        <f>7%*M25</f>
        <v>27229.300000000003</v>
      </c>
      <c r="N26" s="19">
        <f>7%*N25</f>
        <v>18794.300000000003</v>
      </c>
      <c r="O26" s="19">
        <f>7%*O25</f>
        <v>5724.6</v>
      </c>
      <c r="P26" s="19" t="s">
        <v>298</v>
      </c>
      <c r="Q26" s="19" t="s">
        <v>75</v>
      </c>
      <c r="R26" s="19" t="s">
        <v>76</v>
      </c>
      <c r="S26" s="19" t="s">
        <v>77</v>
      </c>
      <c r="T26" s="19" t="s">
        <v>19</v>
      </c>
      <c r="U26" s="19" t="s">
        <v>475</v>
      </c>
      <c r="V26" s="19" t="s">
        <v>665</v>
      </c>
    </row>
    <row r="27" spans="1:22" x14ac:dyDescent="0.3">
      <c r="A27" s="430"/>
      <c r="B27" s="239"/>
      <c r="C27" s="227" t="s">
        <v>476</v>
      </c>
      <c r="D27" s="18"/>
      <c r="E27" s="89"/>
      <c r="F27" s="18"/>
      <c r="G27" s="18">
        <v>12</v>
      </c>
      <c r="H27" s="19">
        <v>159833.04</v>
      </c>
      <c r="I27" s="173">
        <f>G27*H27</f>
        <v>1917996.48</v>
      </c>
      <c r="J27" s="173">
        <f>I27/25</f>
        <v>76719.859200000006</v>
      </c>
      <c r="K27" s="18" t="s">
        <v>426</v>
      </c>
      <c r="L27" s="20">
        <f>I27/4</f>
        <v>479499.12</v>
      </c>
      <c r="M27" s="19">
        <v>517159.29</v>
      </c>
      <c r="N27" s="19">
        <v>517159.29</v>
      </c>
      <c r="O27" s="19">
        <v>517159.29</v>
      </c>
      <c r="P27" s="19" t="s">
        <v>340</v>
      </c>
      <c r="Q27" s="19" t="s">
        <v>237</v>
      </c>
      <c r="R27" s="19" t="s">
        <v>238</v>
      </c>
      <c r="S27" s="19" t="s">
        <v>239</v>
      </c>
      <c r="T27" s="19" t="s">
        <v>19</v>
      </c>
      <c r="U27" s="19" t="s">
        <v>477</v>
      </c>
      <c r="V27" s="19" t="s">
        <v>665</v>
      </c>
    </row>
    <row r="28" spans="1:22" s="11" customFormat="1" ht="25.15" customHeight="1" x14ac:dyDescent="0.3">
      <c r="A28" s="9" t="s">
        <v>286</v>
      </c>
      <c r="B28" s="12"/>
      <c r="C28" s="9"/>
      <c r="D28" s="9"/>
      <c r="E28" s="9"/>
      <c r="F28" s="9"/>
      <c r="G28" s="9"/>
      <c r="H28" s="76"/>
      <c r="I28" s="10">
        <f>I25+I26+I27</f>
        <v>3113218.5693000001</v>
      </c>
      <c r="J28" s="10">
        <f>J25+J26+J27</f>
        <v>124528.742772</v>
      </c>
      <c r="K28" s="76"/>
      <c r="L28" s="76">
        <f>L25+L26+L27</f>
        <v>883713.00930000003</v>
      </c>
      <c r="M28" s="76">
        <f>M25+M26+M27</f>
        <v>933378.59</v>
      </c>
      <c r="N28" s="76">
        <f>N25+N26+N27</f>
        <v>804443.59</v>
      </c>
      <c r="O28" s="76">
        <f>O25+O26+O27</f>
        <v>604663.89</v>
      </c>
      <c r="P28" s="76" t="s">
        <v>298</v>
      </c>
      <c r="Q28" s="76" t="s">
        <v>75</v>
      </c>
      <c r="R28" s="76" t="s">
        <v>76</v>
      </c>
      <c r="S28" s="76" t="s">
        <v>77</v>
      </c>
      <c r="T28" s="76" t="s">
        <v>19</v>
      </c>
      <c r="U28" s="76"/>
      <c r="V28" s="76"/>
    </row>
    <row r="32" spans="1:22" x14ac:dyDescent="0.3">
      <c r="I32" s="8"/>
      <c r="J32" s="8"/>
    </row>
  </sheetData>
  <mergeCells count="8">
    <mergeCell ref="B23:B24"/>
    <mergeCell ref="A26:A27"/>
    <mergeCell ref="A7:A12"/>
    <mergeCell ref="A17:A20"/>
    <mergeCell ref="B7:B13"/>
    <mergeCell ref="A23:A24"/>
    <mergeCell ref="A14:A15"/>
    <mergeCell ref="B14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11"/>
  <sheetViews>
    <sheetView showGridLines="0" topLeftCell="A2" workbookViewId="0">
      <selection activeCell="C14" sqref="C14"/>
    </sheetView>
  </sheetViews>
  <sheetFormatPr defaultColWidth="8.85546875" defaultRowHeight="15" x14ac:dyDescent="0.3"/>
  <cols>
    <col min="1" max="1" width="3.7109375" style="184" customWidth="1"/>
    <col min="2" max="2" width="41.28515625" style="184" customWidth="1"/>
    <col min="3" max="3" width="36.28515625" style="184" customWidth="1"/>
    <col min="4" max="4" width="42" style="184" customWidth="1"/>
    <col min="5" max="5" width="29.85546875" style="185" customWidth="1"/>
    <col min="6" max="6" width="23.85546875" style="186" bestFit="1" customWidth="1"/>
    <col min="7" max="7" width="11.42578125" style="187" customWidth="1"/>
    <col min="8" max="8" width="16.85546875" style="187" customWidth="1"/>
    <col min="9" max="9" width="8.85546875" style="184" customWidth="1"/>
    <col min="10" max="10" width="10.7109375" style="184" customWidth="1"/>
    <col min="11" max="11" width="17.140625" style="184" customWidth="1"/>
    <col min="12" max="12" width="17.28515625" style="184" customWidth="1"/>
    <col min="13" max="13" width="14.140625" style="184" customWidth="1"/>
    <col min="14" max="14" width="13.140625" style="184" customWidth="1"/>
    <col min="15" max="15" width="14.5703125" style="184" customWidth="1"/>
    <col min="16" max="16" width="13.7109375" style="184" customWidth="1"/>
    <col min="17" max="18" width="8.85546875" style="184" customWidth="1"/>
    <col min="19" max="21" width="8.85546875" style="184"/>
    <col min="22" max="22" width="8.85546875" style="184" customWidth="1"/>
    <col min="23" max="16384" width="8.85546875" style="184"/>
  </cols>
  <sheetData>
    <row r="1" spans="2:23" ht="18" customHeight="1" x14ac:dyDescent="0.3">
      <c r="B1" s="195" t="s">
        <v>0</v>
      </c>
    </row>
    <row r="2" spans="2:23" s="165" customFormat="1" ht="16.149999999999999" customHeight="1" x14ac:dyDescent="0.35">
      <c r="B2" s="443" t="s">
        <v>478</v>
      </c>
      <c r="C2" s="442"/>
      <c r="E2" s="197"/>
      <c r="F2" s="198"/>
      <c r="G2" s="196"/>
      <c r="H2" s="196"/>
    </row>
    <row r="3" spans="2:23" s="165" customFormat="1" ht="16.149999999999999" customHeight="1" x14ac:dyDescent="0.35">
      <c r="B3" s="441" t="s">
        <v>29</v>
      </c>
      <c r="C3" s="442"/>
      <c r="E3" s="197"/>
      <c r="F3" s="198"/>
      <c r="G3" s="196"/>
      <c r="H3" s="196"/>
    </row>
    <row r="4" spans="2:23" s="5" customFormat="1" ht="32.450000000000003" customHeight="1" x14ac:dyDescent="0.35">
      <c r="B4" s="166" t="s">
        <v>31</v>
      </c>
      <c r="C4" s="166" t="s">
        <v>32</v>
      </c>
      <c r="D4" s="166" t="s">
        <v>33</v>
      </c>
      <c r="E4" s="208" t="s">
        <v>34</v>
      </c>
      <c r="F4" s="209" t="s">
        <v>35</v>
      </c>
      <c r="G4" s="179" t="s">
        <v>36</v>
      </c>
      <c r="H4" s="179" t="s">
        <v>479</v>
      </c>
      <c r="I4" s="166" t="s">
        <v>37</v>
      </c>
      <c r="J4" s="166" t="s">
        <v>38</v>
      </c>
      <c r="K4" s="166" t="s">
        <v>480</v>
      </c>
      <c r="L4" s="215" t="s">
        <v>41</v>
      </c>
      <c r="M4" s="166" t="s">
        <v>42</v>
      </c>
      <c r="N4" s="166" t="s">
        <v>43</v>
      </c>
      <c r="O4" s="166" t="s">
        <v>44</v>
      </c>
      <c r="P4" s="166" t="s">
        <v>45</v>
      </c>
      <c r="Q4" s="166" t="s">
        <v>46</v>
      </c>
      <c r="R4" s="166" t="s">
        <v>47</v>
      </c>
      <c r="S4" s="166" t="s">
        <v>48</v>
      </c>
      <c r="T4" s="166" t="s">
        <v>49</v>
      </c>
      <c r="U4" s="166" t="s">
        <v>2</v>
      </c>
      <c r="V4" s="166" t="s">
        <v>50</v>
      </c>
      <c r="W4" s="166" t="s">
        <v>51</v>
      </c>
    </row>
    <row r="5" spans="2:23" ht="28.9" customHeight="1" x14ac:dyDescent="0.3">
      <c r="B5" s="439" t="s">
        <v>13</v>
      </c>
      <c r="C5" s="212" t="s">
        <v>666</v>
      </c>
      <c r="D5" s="212" t="s">
        <v>481</v>
      </c>
      <c r="E5" s="211" t="s">
        <v>482</v>
      </c>
      <c r="F5" s="213" t="s">
        <v>144</v>
      </c>
      <c r="G5" s="214" t="s">
        <v>145</v>
      </c>
      <c r="H5" s="207" t="s">
        <v>483</v>
      </c>
      <c r="I5" s="204">
        <v>1</v>
      </c>
      <c r="J5" s="207">
        <v>45500</v>
      </c>
      <c r="K5" s="207">
        <f t="shared" ref="K5:K10" si="0">I5*J5</f>
        <v>45500</v>
      </c>
      <c r="L5" s="204" t="s">
        <v>4</v>
      </c>
      <c r="M5" s="207">
        <f>K5</f>
        <v>45500</v>
      </c>
      <c r="N5" s="207"/>
      <c r="O5" s="207"/>
      <c r="P5" s="207"/>
      <c r="Q5" s="207" t="s">
        <v>298</v>
      </c>
      <c r="R5" s="207" t="s">
        <v>75</v>
      </c>
      <c r="S5" s="207" t="s">
        <v>76</v>
      </c>
      <c r="T5" s="207" t="s">
        <v>77</v>
      </c>
      <c r="U5" s="207" t="s">
        <v>21</v>
      </c>
      <c r="V5" s="207" t="s">
        <v>484</v>
      </c>
      <c r="W5" s="207" t="s">
        <v>616</v>
      </c>
    </row>
    <row r="6" spans="2:23" ht="15.75" customHeight="1" x14ac:dyDescent="0.3">
      <c r="B6" s="440"/>
      <c r="C6" s="204" t="s">
        <v>667</v>
      </c>
      <c r="D6" s="204" t="s">
        <v>485</v>
      </c>
      <c r="E6" s="205" t="s">
        <v>486</v>
      </c>
      <c r="F6" s="206" t="s">
        <v>241</v>
      </c>
      <c r="G6" s="207" t="s">
        <v>149</v>
      </c>
      <c r="H6" s="207" t="s">
        <v>483</v>
      </c>
      <c r="I6" s="204">
        <v>12</v>
      </c>
      <c r="J6" s="207">
        <v>65000</v>
      </c>
      <c r="K6" s="207">
        <f t="shared" si="0"/>
        <v>780000</v>
      </c>
      <c r="L6" s="204" t="s">
        <v>487</v>
      </c>
      <c r="M6" s="207">
        <f>K6/4</f>
        <v>195000</v>
      </c>
      <c r="N6" s="207">
        <v>195000</v>
      </c>
      <c r="O6" s="207">
        <v>195000</v>
      </c>
      <c r="P6" s="207">
        <v>195000</v>
      </c>
      <c r="Q6" s="207" t="s">
        <v>298</v>
      </c>
      <c r="R6" s="207" t="s">
        <v>75</v>
      </c>
      <c r="S6" s="207" t="s">
        <v>76</v>
      </c>
      <c r="T6" s="207" t="s">
        <v>77</v>
      </c>
      <c r="U6" s="207" t="s">
        <v>21</v>
      </c>
      <c r="V6" s="207" t="s">
        <v>488</v>
      </c>
      <c r="W6" s="207" t="s">
        <v>616</v>
      </c>
    </row>
    <row r="7" spans="2:23" ht="15.75" customHeight="1" x14ac:dyDescent="0.3">
      <c r="B7" s="440"/>
      <c r="C7" s="204" t="s">
        <v>668</v>
      </c>
      <c r="D7" s="204" t="s">
        <v>489</v>
      </c>
      <c r="E7" s="205" t="s">
        <v>490</v>
      </c>
      <c r="F7" s="206" t="s">
        <v>241</v>
      </c>
      <c r="G7" s="207" t="s">
        <v>149</v>
      </c>
      <c r="H7" s="207" t="s">
        <v>483</v>
      </c>
      <c r="I7" s="204">
        <v>1</v>
      </c>
      <c r="J7" s="207">
        <v>85000</v>
      </c>
      <c r="K7" s="207">
        <f t="shared" si="0"/>
        <v>85000</v>
      </c>
      <c r="L7" s="204" t="s">
        <v>5</v>
      </c>
      <c r="M7" s="207"/>
      <c r="N7" s="207">
        <f>K7</f>
        <v>85000</v>
      </c>
      <c r="O7" s="207"/>
      <c r="P7" s="207"/>
      <c r="Q7" s="207" t="s">
        <v>298</v>
      </c>
      <c r="R7" s="207" t="s">
        <v>75</v>
      </c>
      <c r="S7" s="207" t="s">
        <v>76</v>
      </c>
      <c r="T7" s="207" t="s">
        <v>77</v>
      </c>
      <c r="U7" s="207" t="s">
        <v>21</v>
      </c>
      <c r="V7" s="207" t="s">
        <v>491</v>
      </c>
      <c r="W7" s="207" t="s">
        <v>616</v>
      </c>
    </row>
    <row r="8" spans="2:23" ht="15.75" customHeight="1" x14ac:dyDescent="0.3">
      <c r="B8" s="440"/>
      <c r="C8" s="204" t="s">
        <v>669</v>
      </c>
      <c r="D8" s="204" t="s">
        <v>492</v>
      </c>
      <c r="E8" s="205" t="s">
        <v>493</v>
      </c>
      <c r="F8" s="206" t="s">
        <v>241</v>
      </c>
      <c r="G8" s="207" t="s">
        <v>149</v>
      </c>
      <c r="H8" s="207" t="s">
        <v>483</v>
      </c>
      <c r="I8" s="204">
        <v>4</v>
      </c>
      <c r="J8" s="207">
        <v>35000</v>
      </c>
      <c r="K8" s="207">
        <f t="shared" si="0"/>
        <v>140000</v>
      </c>
      <c r="L8" s="204" t="s">
        <v>487</v>
      </c>
      <c r="M8" s="207">
        <v>35000</v>
      </c>
      <c r="N8" s="207">
        <v>35000</v>
      </c>
      <c r="O8" s="207">
        <v>35000</v>
      </c>
      <c r="P8" s="207">
        <v>35000</v>
      </c>
      <c r="Q8" s="207" t="s">
        <v>298</v>
      </c>
      <c r="R8" s="207" t="s">
        <v>75</v>
      </c>
      <c r="S8" s="207" t="s">
        <v>76</v>
      </c>
      <c r="T8" s="207" t="s">
        <v>77</v>
      </c>
      <c r="U8" s="207" t="s">
        <v>21</v>
      </c>
      <c r="V8" s="207" t="s">
        <v>494</v>
      </c>
      <c r="W8" s="207" t="s">
        <v>616</v>
      </c>
    </row>
    <row r="9" spans="2:23" ht="15.75" customHeight="1" x14ac:dyDescent="0.3">
      <c r="B9" s="440"/>
      <c r="C9" s="204" t="s">
        <v>670</v>
      </c>
      <c r="D9" s="204" t="s">
        <v>495</v>
      </c>
      <c r="E9" s="205" t="s">
        <v>496</v>
      </c>
      <c r="F9" s="206" t="s">
        <v>241</v>
      </c>
      <c r="G9" s="207" t="s">
        <v>149</v>
      </c>
      <c r="H9" s="207" t="s">
        <v>483</v>
      </c>
      <c r="I9" s="204">
        <v>12</v>
      </c>
      <c r="J9" s="207">
        <v>3500</v>
      </c>
      <c r="K9" s="207">
        <f t="shared" si="0"/>
        <v>42000</v>
      </c>
      <c r="L9" s="204" t="s">
        <v>487</v>
      </c>
      <c r="M9" s="207">
        <f>K9/4</f>
        <v>10500</v>
      </c>
      <c r="N9" s="207">
        <v>10500</v>
      </c>
      <c r="O9" s="207">
        <v>10500</v>
      </c>
      <c r="P9" s="207">
        <v>10500</v>
      </c>
      <c r="Q9" s="207" t="s">
        <v>298</v>
      </c>
      <c r="R9" s="207" t="s">
        <v>75</v>
      </c>
      <c r="S9" s="207" t="s">
        <v>76</v>
      </c>
      <c r="T9" s="207" t="s">
        <v>77</v>
      </c>
      <c r="U9" s="207" t="s">
        <v>21</v>
      </c>
      <c r="V9" s="207" t="s">
        <v>497</v>
      </c>
      <c r="W9" s="207" t="s">
        <v>616</v>
      </c>
    </row>
    <row r="10" spans="2:23" ht="15.75" customHeight="1" x14ac:dyDescent="0.3">
      <c r="B10" s="440"/>
      <c r="C10" s="204" t="s">
        <v>671</v>
      </c>
      <c r="D10" s="204" t="s">
        <v>498</v>
      </c>
      <c r="E10" s="205" t="s">
        <v>499</v>
      </c>
      <c r="F10" s="206" t="s">
        <v>241</v>
      </c>
      <c r="G10" s="207" t="s">
        <v>149</v>
      </c>
      <c r="H10" s="207" t="s">
        <v>483</v>
      </c>
      <c r="I10" s="204">
        <v>12</v>
      </c>
      <c r="J10" s="207">
        <v>1000</v>
      </c>
      <c r="K10" s="207">
        <f t="shared" si="0"/>
        <v>12000</v>
      </c>
      <c r="L10" s="204" t="s">
        <v>487</v>
      </c>
      <c r="M10" s="207">
        <f>K10/4</f>
        <v>3000</v>
      </c>
      <c r="N10" s="207">
        <v>3000</v>
      </c>
      <c r="O10" s="207">
        <v>3000</v>
      </c>
      <c r="P10" s="207">
        <v>3000</v>
      </c>
      <c r="Q10" s="207" t="s">
        <v>298</v>
      </c>
      <c r="R10" s="207" t="s">
        <v>75</v>
      </c>
      <c r="S10" s="207" t="s">
        <v>76</v>
      </c>
      <c r="T10" s="207" t="s">
        <v>77</v>
      </c>
      <c r="U10" s="207" t="s">
        <v>21</v>
      </c>
      <c r="V10" s="207" t="s">
        <v>500</v>
      </c>
      <c r="W10" s="207" t="s">
        <v>616</v>
      </c>
    </row>
    <row r="11" spans="2:23" s="5" customFormat="1" ht="19.899999999999999" customHeight="1" x14ac:dyDescent="0.35">
      <c r="B11" s="210" t="s">
        <v>286</v>
      </c>
      <c r="C11" s="166"/>
      <c r="D11" s="166"/>
      <c r="E11" s="208"/>
      <c r="F11" s="209"/>
      <c r="G11" s="179"/>
      <c r="H11" s="179"/>
      <c r="I11" s="166"/>
      <c r="J11" s="166"/>
      <c r="K11" s="179">
        <f t="shared" ref="K11:P11" si="1">SUM(K5:K10)</f>
        <v>1104500</v>
      </c>
      <c r="L11" s="179">
        <f t="shared" si="1"/>
        <v>0</v>
      </c>
      <c r="M11" s="179">
        <f t="shared" si="1"/>
        <v>289000</v>
      </c>
      <c r="N11" s="179">
        <f t="shared" si="1"/>
        <v>328500</v>
      </c>
      <c r="O11" s="179">
        <f t="shared" si="1"/>
        <v>243500</v>
      </c>
      <c r="P11" s="179">
        <f t="shared" si="1"/>
        <v>243500</v>
      </c>
      <c r="Q11" s="179" t="s">
        <v>298</v>
      </c>
      <c r="R11" s="179" t="s">
        <v>75</v>
      </c>
      <c r="S11" s="179" t="s">
        <v>76</v>
      </c>
      <c r="T11" s="179" t="s">
        <v>77</v>
      </c>
      <c r="U11" s="179" t="s">
        <v>21</v>
      </c>
      <c r="V11" s="179"/>
      <c r="W11" s="179"/>
    </row>
  </sheetData>
  <mergeCells count="3">
    <mergeCell ref="B5:B10"/>
    <mergeCell ref="B3:C3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08"/>
  <sheetViews>
    <sheetView topLeftCell="D1" workbookViewId="0">
      <selection activeCell="E2" sqref="E2:G5"/>
    </sheetView>
  </sheetViews>
  <sheetFormatPr defaultColWidth="8.85546875" defaultRowHeight="14.25" x14ac:dyDescent="0.2"/>
  <cols>
    <col min="1" max="1" width="8.85546875" style="243" customWidth="1"/>
    <col min="2" max="2" width="73" style="243" bestFit="1" customWidth="1"/>
    <col min="3" max="4" width="8.85546875" style="243" customWidth="1"/>
    <col min="5" max="5" width="53.28515625" style="243" customWidth="1"/>
    <col min="6" max="6" width="51.7109375" style="243" customWidth="1"/>
    <col min="7" max="7" width="35" style="243" customWidth="1"/>
    <col min="8" max="9" width="8.85546875" style="243" customWidth="1"/>
    <col min="10" max="16384" width="8.85546875" style="243"/>
  </cols>
  <sheetData>
    <row r="2" spans="2:7" s="248" customFormat="1" ht="24.6" customHeight="1" thickBot="1" x14ac:dyDescent="0.25">
      <c r="E2" s="249" t="s">
        <v>501</v>
      </c>
      <c r="F2" s="249" t="s">
        <v>502</v>
      </c>
      <c r="G2" s="249" t="s">
        <v>503</v>
      </c>
    </row>
    <row r="3" spans="2:7" s="242" customFormat="1" ht="55.9" customHeight="1" thickBot="1" x14ac:dyDescent="0.25">
      <c r="B3" s="242" t="s">
        <v>504</v>
      </c>
      <c r="E3" s="244" t="s">
        <v>505</v>
      </c>
      <c r="F3" s="244" t="s">
        <v>506</v>
      </c>
      <c r="G3" s="245" t="s">
        <v>507</v>
      </c>
    </row>
    <row r="4" spans="2:7" ht="33" customHeight="1" thickBot="1" x14ac:dyDescent="0.25">
      <c r="B4" s="243" t="s">
        <v>508</v>
      </c>
      <c r="E4" s="244" t="s">
        <v>509</v>
      </c>
      <c r="F4" s="244" t="s">
        <v>510</v>
      </c>
      <c r="G4" s="247" t="s">
        <v>511</v>
      </c>
    </row>
    <row r="5" spans="2:7" ht="55.9" customHeight="1" thickBot="1" x14ac:dyDescent="0.25">
      <c r="B5" s="243" t="s">
        <v>512</v>
      </c>
      <c r="E5" s="244" t="s">
        <v>513</v>
      </c>
      <c r="F5" s="246" t="s">
        <v>514</v>
      </c>
      <c r="G5" s="244" t="s">
        <v>515</v>
      </c>
    </row>
    <row r="6" spans="2:7" x14ac:dyDescent="0.2">
      <c r="B6" s="243" t="s">
        <v>516</v>
      </c>
    </row>
    <row r="7" spans="2:7" x14ac:dyDescent="0.2">
      <c r="B7" s="243" t="s">
        <v>517</v>
      </c>
    </row>
    <row r="8" spans="2:7" x14ac:dyDescent="0.2">
      <c r="B8" s="243" t="s">
        <v>518</v>
      </c>
      <c r="E8" s="242"/>
    </row>
    <row r="9" spans="2:7" x14ac:dyDescent="0.2">
      <c r="B9" s="243" t="s">
        <v>519</v>
      </c>
      <c r="E9" s="242"/>
    </row>
    <row r="10" spans="2:7" x14ac:dyDescent="0.2">
      <c r="B10" s="243" t="s">
        <v>520</v>
      </c>
      <c r="E10" s="242"/>
    </row>
    <row r="11" spans="2:7" x14ac:dyDescent="0.2">
      <c r="B11" s="243" t="s">
        <v>521</v>
      </c>
    </row>
    <row r="12" spans="2:7" s="242" customFormat="1" x14ac:dyDescent="0.2">
      <c r="B12" s="242" t="s">
        <v>522</v>
      </c>
    </row>
    <row r="13" spans="2:7" x14ac:dyDescent="0.2">
      <c r="B13" s="243" t="s">
        <v>523</v>
      </c>
    </row>
    <row r="14" spans="2:7" x14ac:dyDescent="0.2">
      <c r="B14" s="243" t="s">
        <v>524</v>
      </c>
    </row>
    <row r="15" spans="2:7" x14ac:dyDescent="0.2">
      <c r="B15" s="243" t="s">
        <v>525</v>
      </c>
    </row>
    <row r="16" spans="2:7" x14ac:dyDescent="0.2">
      <c r="B16" s="243" t="s">
        <v>526</v>
      </c>
    </row>
    <row r="17" spans="2:2" x14ac:dyDescent="0.2">
      <c r="B17" s="243" t="s">
        <v>527</v>
      </c>
    </row>
    <row r="18" spans="2:2" x14ac:dyDescent="0.2">
      <c r="B18" s="243" t="s">
        <v>528</v>
      </c>
    </row>
    <row r="19" spans="2:2" x14ac:dyDescent="0.2">
      <c r="B19" s="243" t="s">
        <v>529</v>
      </c>
    </row>
    <row r="20" spans="2:2" x14ac:dyDescent="0.2">
      <c r="B20" s="243" t="s">
        <v>530</v>
      </c>
    </row>
    <row r="21" spans="2:2" x14ac:dyDescent="0.2">
      <c r="B21" s="243" t="s">
        <v>531</v>
      </c>
    </row>
    <row r="22" spans="2:2" x14ac:dyDescent="0.2">
      <c r="B22" s="243" t="s">
        <v>532</v>
      </c>
    </row>
    <row r="24" spans="2:2" x14ac:dyDescent="0.2">
      <c r="B24" s="243" t="s">
        <v>533</v>
      </c>
    </row>
    <row r="26" spans="2:2" x14ac:dyDescent="0.2">
      <c r="B26" s="243" t="s">
        <v>534</v>
      </c>
    </row>
    <row r="27" spans="2:2" x14ac:dyDescent="0.2">
      <c r="B27" s="243" t="s">
        <v>535</v>
      </c>
    </row>
    <row r="28" spans="2:2" s="242" customFormat="1" x14ac:dyDescent="0.2">
      <c r="B28" s="242" t="s">
        <v>536</v>
      </c>
    </row>
    <row r="29" spans="2:2" x14ac:dyDescent="0.2">
      <c r="B29" s="243" t="s">
        <v>537</v>
      </c>
    </row>
    <row r="30" spans="2:2" x14ac:dyDescent="0.2">
      <c r="B30" s="243" t="s">
        <v>512</v>
      </c>
    </row>
    <row r="31" spans="2:2" x14ac:dyDescent="0.2">
      <c r="B31" s="243" t="s">
        <v>538</v>
      </c>
    </row>
    <row r="32" spans="2:2" x14ac:dyDescent="0.2">
      <c r="B32" s="243" t="s">
        <v>539</v>
      </c>
    </row>
    <row r="33" spans="2:2" x14ac:dyDescent="0.2">
      <c r="B33" s="243" t="s">
        <v>540</v>
      </c>
    </row>
    <row r="34" spans="2:2" x14ac:dyDescent="0.2">
      <c r="B34" s="243" t="s">
        <v>541</v>
      </c>
    </row>
    <row r="35" spans="2:2" x14ac:dyDescent="0.2">
      <c r="B35" s="243" t="s">
        <v>542</v>
      </c>
    </row>
    <row r="36" spans="2:2" x14ac:dyDescent="0.2">
      <c r="B36" s="243" t="s">
        <v>543</v>
      </c>
    </row>
    <row r="37" spans="2:2" s="242" customFormat="1" x14ac:dyDescent="0.2">
      <c r="B37" s="242" t="s">
        <v>544</v>
      </c>
    </row>
    <row r="38" spans="2:2" x14ac:dyDescent="0.2">
      <c r="B38" s="243" t="s">
        <v>545</v>
      </c>
    </row>
    <row r="39" spans="2:2" x14ac:dyDescent="0.2">
      <c r="B39" s="243" t="s">
        <v>546</v>
      </c>
    </row>
    <row r="40" spans="2:2" x14ac:dyDescent="0.2">
      <c r="B40" s="243" t="s">
        <v>547</v>
      </c>
    </row>
    <row r="41" spans="2:2" x14ac:dyDescent="0.2">
      <c r="B41" s="243" t="s">
        <v>548</v>
      </c>
    </row>
    <row r="42" spans="2:2" x14ac:dyDescent="0.2">
      <c r="B42" s="243" t="s">
        <v>549</v>
      </c>
    </row>
    <row r="43" spans="2:2" x14ac:dyDescent="0.2">
      <c r="B43" s="243" t="s">
        <v>550</v>
      </c>
    </row>
    <row r="44" spans="2:2" x14ac:dyDescent="0.2">
      <c r="B44" s="243" t="s">
        <v>551</v>
      </c>
    </row>
    <row r="45" spans="2:2" s="242" customFormat="1" x14ac:dyDescent="0.2">
      <c r="B45" s="242" t="s">
        <v>552</v>
      </c>
    </row>
    <row r="46" spans="2:2" x14ac:dyDescent="0.2">
      <c r="B46" s="243" t="s">
        <v>553</v>
      </c>
    </row>
    <row r="47" spans="2:2" x14ac:dyDescent="0.2">
      <c r="B47" s="243" t="s">
        <v>554</v>
      </c>
    </row>
    <row r="48" spans="2:2" x14ac:dyDescent="0.2">
      <c r="B48" s="243" t="s">
        <v>555</v>
      </c>
    </row>
    <row r="49" spans="2:2" x14ac:dyDescent="0.2">
      <c r="B49" s="243" t="s">
        <v>556</v>
      </c>
    </row>
    <row r="50" spans="2:2" x14ac:dyDescent="0.2">
      <c r="B50" s="243" t="s">
        <v>557</v>
      </c>
    </row>
    <row r="51" spans="2:2" x14ac:dyDescent="0.2">
      <c r="B51" s="243" t="s">
        <v>558</v>
      </c>
    </row>
    <row r="52" spans="2:2" s="242" customFormat="1" x14ac:dyDescent="0.2">
      <c r="B52" s="242" t="s">
        <v>559</v>
      </c>
    </row>
    <row r="53" spans="2:2" x14ac:dyDescent="0.2">
      <c r="B53" s="243" t="s">
        <v>560</v>
      </c>
    </row>
    <row r="54" spans="2:2" x14ac:dyDescent="0.2">
      <c r="B54" s="243" t="s">
        <v>512</v>
      </c>
    </row>
    <row r="55" spans="2:2" x14ac:dyDescent="0.2">
      <c r="B55" s="243" t="s">
        <v>561</v>
      </c>
    </row>
    <row r="56" spans="2:2" x14ac:dyDescent="0.2">
      <c r="B56" s="243" t="s">
        <v>562</v>
      </c>
    </row>
    <row r="57" spans="2:2" x14ac:dyDescent="0.2">
      <c r="B57" s="243" t="s">
        <v>563</v>
      </c>
    </row>
    <row r="58" spans="2:2" x14ac:dyDescent="0.2">
      <c r="B58" s="243" t="s">
        <v>564</v>
      </c>
    </row>
    <row r="59" spans="2:2" x14ac:dyDescent="0.2">
      <c r="B59" s="243" t="s">
        <v>565</v>
      </c>
    </row>
    <row r="60" spans="2:2" x14ac:dyDescent="0.2">
      <c r="B60" s="243" t="s">
        <v>566</v>
      </c>
    </row>
    <row r="61" spans="2:2" s="242" customFormat="1" x14ac:dyDescent="0.2">
      <c r="B61" s="242" t="s">
        <v>567</v>
      </c>
    </row>
    <row r="62" spans="2:2" x14ac:dyDescent="0.2">
      <c r="B62" s="243" t="s">
        <v>568</v>
      </c>
    </row>
    <row r="63" spans="2:2" x14ac:dyDescent="0.2">
      <c r="B63" s="243" t="s">
        <v>569</v>
      </c>
    </row>
    <row r="64" spans="2:2" x14ac:dyDescent="0.2">
      <c r="B64" s="243" t="s">
        <v>570</v>
      </c>
    </row>
    <row r="65" spans="2:2" x14ac:dyDescent="0.2">
      <c r="B65" s="243" t="s">
        <v>571</v>
      </c>
    </row>
    <row r="66" spans="2:2" x14ac:dyDescent="0.2">
      <c r="B66" s="243" t="s">
        <v>572</v>
      </c>
    </row>
    <row r="67" spans="2:2" x14ac:dyDescent="0.2">
      <c r="B67" s="243" t="s">
        <v>573</v>
      </c>
    </row>
    <row r="68" spans="2:2" x14ac:dyDescent="0.2">
      <c r="B68" s="243" t="s">
        <v>574</v>
      </c>
    </row>
    <row r="69" spans="2:2" s="242" customFormat="1" x14ac:dyDescent="0.2">
      <c r="B69" s="242" t="s">
        <v>575</v>
      </c>
    </row>
    <row r="70" spans="2:2" x14ac:dyDescent="0.2">
      <c r="B70" s="243" t="s">
        <v>576</v>
      </c>
    </row>
    <row r="71" spans="2:2" x14ac:dyDescent="0.2">
      <c r="B71" s="243" t="s">
        <v>512</v>
      </c>
    </row>
    <row r="72" spans="2:2" x14ac:dyDescent="0.2">
      <c r="B72" s="243" t="s">
        <v>577</v>
      </c>
    </row>
    <row r="73" spans="2:2" x14ac:dyDescent="0.2">
      <c r="B73" s="243" t="s">
        <v>578</v>
      </c>
    </row>
    <row r="74" spans="2:2" x14ac:dyDescent="0.2">
      <c r="B74" s="243" t="s">
        <v>579</v>
      </c>
    </row>
    <row r="75" spans="2:2" x14ac:dyDescent="0.2">
      <c r="B75" s="243" t="s">
        <v>580</v>
      </c>
    </row>
    <row r="76" spans="2:2" x14ac:dyDescent="0.2">
      <c r="B76" s="243" t="s">
        <v>581</v>
      </c>
    </row>
    <row r="77" spans="2:2" x14ac:dyDescent="0.2">
      <c r="B77" s="243" t="s">
        <v>582</v>
      </c>
    </row>
    <row r="78" spans="2:2" s="242" customFormat="1" x14ac:dyDescent="0.2">
      <c r="B78" s="242" t="s">
        <v>583</v>
      </c>
    </row>
    <row r="79" spans="2:2" x14ac:dyDescent="0.2">
      <c r="B79" s="243" t="s">
        <v>584</v>
      </c>
    </row>
    <row r="80" spans="2:2" x14ac:dyDescent="0.2">
      <c r="B80" s="243" t="s">
        <v>512</v>
      </c>
    </row>
    <row r="81" spans="2:2" x14ac:dyDescent="0.2">
      <c r="B81" s="243" t="s">
        <v>585</v>
      </c>
    </row>
    <row r="82" spans="2:2" x14ac:dyDescent="0.2">
      <c r="B82" s="243" t="s">
        <v>586</v>
      </c>
    </row>
    <row r="83" spans="2:2" x14ac:dyDescent="0.2">
      <c r="B83" s="243" t="s">
        <v>587</v>
      </c>
    </row>
    <row r="84" spans="2:2" x14ac:dyDescent="0.2">
      <c r="B84" s="243" t="s">
        <v>588</v>
      </c>
    </row>
    <row r="85" spans="2:2" x14ac:dyDescent="0.2">
      <c r="B85" s="243" t="s">
        <v>589</v>
      </c>
    </row>
    <row r="86" spans="2:2" s="242" customFormat="1" x14ac:dyDescent="0.2">
      <c r="B86" s="242" t="s">
        <v>590</v>
      </c>
    </row>
    <row r="87" spans="2:2" x14ac:dyDescent="0.2">
      <c r="B87" s="243" t="s">
        <v>591</v>
      </c>
    </row>
    <row r="88" spans="2:2" x14ac:dyDescent="0.2">
      <c r="B88" s="243" t="s">
        <v>512</v>
      </c>
    </row>
    <row r="89" spans="2:2" x14ac:dyDescent="0.2">
      <c r="B89" s="243" t="s">
        <v>592</v>
      </c>
    </row>
    <row r="90" spans="2:2" x14ac:dyDescent="0.2">
      <c r="B90" s="243" t="s">
        <v>593</v>
      </c>
    </row>
    <row r="91" spans="2:2" x14ac:dyDescent="0.2">
      <c r="B91" s="243" t="s">
        <v>594</v>
      </c>
    </row>
    <row r="92" spans="2:2" x14ac:dyDescent="0.2">
      <c r="B92" s="243" t="s">
        <v>595</v>
      </c>
    </row>
    <row r="93" spans="2:2" x14ac:dyDescent="0.2">
      <c r="B93" s="243" t="s">
        <v>596</v>
      </c>
    </row>
    <row r="94" spans="2:2" s="242" customFormat="1" x14ac:dyDescent="0.2">
      <c r="B94" s="242" t="s">
        <v>597</v>
      </c>
    </row>
    <row r="95" spans="2:2" x14ac:dyDescent="0.2">
      <c r="B95" s="243" t="s">
        <v>598</v>
      </c>
    </row>
    <row r="96" spans="2:2" x14ac:dyDescent="0.2">
      <c r="B96" s="243" t="s">
        <v>512</v>
      </c>
    </row>
    <row r="97" spans="2:2" x14ac:dyDescent="0.2">
      <c r="B97" s="243" t="s">
        <v>599</v>
      </c>
    </row>
    <row r="98" spans="2:2" x14ac:dyDescent="0.2">
      <c r="B98" s="243" t="s">
        <v>586</v>
      </c>
    </row>
    <row r="99" spans="2:2" x14ac:dyDescent="0.2">
      <c r="B99" s="243" t="s">
        <v>600</v>
      </c>
    </row>
    <row r="100" spans="2:2" x14ac:dyDescent="0.2">
      <c r="B100" s="243" t="s">
        <v>601</v>
      </c>
    </row>
    <row r="101" spans="2:2" s="242" customFormat="1" x14ac:dyDescent="0.2">
      <c r="B101" s="242" t="s">
        <v>602</v>
      </c>
    </row>
    <row r="102" spans="2:2" x14ac:dyDescent="0.2">
      <c r="B102" s="243" t="s">
        <v>603</v>
      </c>
    </row>
    <row r="103" spans="2:2" x14ac:dyDescent="0.2">
      <c r="B103" s="243" t="s">
        <v>604</v>
      </c>
    </row>
    <row r="104" spans="2:2" x14ac:dyDescent="0.2">
      <c r="B104" s="243" t="s">
        <v>605</v>
      </c>
    </row>
    <row r="105" spans="2:2" x14ac:dyDescent="0.2">
      <c r="B105" s="243" t="s">
        <v>606</v>
      </c>
    </row>
    <row r="106" spans="2:2" x14ac:dyDescent="0.2">
      <c r="B106" s="243" t="s">
        <v>607</v>
      </c>
    </row>
    <row r="107" spans="2:2" x14ac:dyDescent="0.2">
      <c r="B107" s="243" t="s">
        <v>608</v>
      </c>
    </row>
    <row r="108" spans="2:2" x14ac:dyDescent="0.2">
      <c r="B108" s="243" t="s">
        <v>609</v>
      </c>
    </row>
  </sheetData>
  <pageMargins left="0.7" right="0.7" top="0.75" bottom="0.75" header="0.3" footer="0.3"/>
  <pageSetup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Code Guide</vt:lpstr>
      <vt:lpstr>Budget Summary</vt:lpstr>
      <vt:lpstr>Comic Relief</vt:lpstr>
      <vt:lpstr>MOTTIII</vt:lpstr>
      <vt:lpstr>KaluluII</vt:lpstr>
      <vt:lpstr>ZGF</vt:lpstr>
      <vt:lpstr>Proposals to manage FinPerf</vt:lpstr>
      <vt:lpstr>MOTTIII!Print_Area</vt:lpstr>
      <vt:lpstr>'Proposals to manage FinPerf'!Print_Area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"Catherine Soneni  Daka" &lt;catherine.daka@zgf.org.zm&gt;</dc:creator>
  <cp:lastModifiedBy>Darren Phiri</cp:lastModifiedBy>
  <cp:lastPrinted>2026-02-04T10:20:29Z</cp:lastPrinted>
  <dcterms:created xsi:type="dcterms:W3CDTF">2026-01-06T10:18:07Z</dcterms:created>
  <dcterms:modified xsi:type="dcterms:W3CDTF">2026-02-13T08:06:03Z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0x010100633B15473B75CB47816D7A72379FF8D0</vt:lpwstr>
  </property>
  <property fmtid="{D5CDD505-2E9C-101B-9397-08002B2CF9AE}" pid="3" name="_dlc_DocIdItemGuid">
    <vt:lpwstr>6ac92d29-b2ac-4d56-976d-472ec6f54208</vt:lpwstr>
  </property>
</Properties>
</file>